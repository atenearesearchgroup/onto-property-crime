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" sheetId="1" state="visible" r:id="rId3"/>
    <sheet name="Summary" sheetId="2" state="visible" r:id="rId4"/>
    <sheet name="Pairs" sheetId="3" state="visible" r:id="rId5"/>
    <sheet name="Report_1" sheetId="4" state="visible" r:id="rId6"/>
    <sheet name="Report_2" sheetId="5" state="visible" r:id="rId7"/>
    <sheet name="Report_3" sheetId="6" state="visible" r:id="rId8"/>
    <sheet name="Report_4" sheetId="7" state="visible" r:id="rId9"/>
    <sheet name="Report_5" sheetId="8" state="visible" r:id="rId10"/>
    <sheet name="Report_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1 = subject is an individual (fact extracted from the report); 0 = vocabulary declaration</t>
        </r>
      </text>
    </comment>
  </commentList>
</comments>
</file>

<file path=xl/sharedStrings.xml><?xml version="1.0" encoding="utf-8"?>
<sst xmlns="http://schemas.openxmlformats.org/spreadsheetml/2006/main" count="1442" uniqueCount="242">
  <si>
    <t xml:space="preserve">Method</t>
  </si>
  <si>
    <t xml:space="preserve">Goal</t>
  </si>
  <si>
    <t xml:space="preserve">Measure how structurally consistent the RDF graphs produced by five independent runs of the pipeline are for the same police report (atestado).</t>
  </si>
  <si>
    <t xml:space="preserve">Data</t>
  </si>
  <si>
    <t xml:space="preserve">6 reports × 5 runs = 30 RDF/XML files. Run mapping per report: R1 = file without suffix, R2–R5 = files suffixed (1)–(4). The exact file names are listed in each report sheet.</t>
  </si>
  <si>
    <t xml:space="preserve">Shape of a triple</t>
  </si>
  <si>
    <t xml:space="preserve">Each triple (s, p, o) is mapped to a shape: the predicate is kept; each individual (instance IRI) is replaced by its named classes, e.g. &lt;d:StolenGoods&gt; (&lt;SinTipo&gt; if it has no type); vocabulary terms (classes, properties) are kept verbatim; literals become Lit^^datatype (the value is discarded); blank nodes are replaced by a canonical recursive signature of their structure, independent of the node ID.</t>
  </si>
  <si>
    <t xml:space="preserve">Triples whose subject is a blank node are folded into the signature of the node that references them, so they are not counted separately.</t>
  </si>
  <si>
    <t xml:space="preserve">c_X(f) = number of triples of graph X that map to shape f. Each graph therefore becomes a multiset of shapes.</t>
  </si>
  <si>
    <t xml:space="preserve">Metric: multiset (weighted) Jaccard, also known as Ruzicka similarity</t>
  </si>
  <si>
    <t xml:space="preserve">J_w(A,B) = Σ_f min(c_A(f), c_B(f)) / Σ_f max(c_A(f), c_B(f))      Range [0, 1]; 1 = identical shape multisets.</t>
  </si>
  <si>
    <t xml:space="preserve">Global value for n runs: J_w(X1..Xn) = Σ_f min_i c_i(f) / Σ_f max_i c_i(f)  (here n = 5).</t>
  </si>
  <si>
    <t xml:space="preserve">In the report sheets, the pairwise value is computed directly from the count columns with SUMPRODUCT: Σmin = SUMPRODUCT((a&lt;b)·a + (a≥b)·b), Σmax = SUMPRODUCT((a&gt;b)·a + (a≤b)·b).</t>
  </si>
  <si>
    <t xml:space="preserve">Two scopes</t>
  </si>
  <si>
    <t xml:space="preserve">Full graph: every shape, including the TBox declarations (owl:Class, owl:ObjectProperty, rdfs:label…) that the pipeline writes into each file.</t>
  </si>
  <si>
    <t xml:space="preserve">ABox only: shapes whose subject is an individual (the facts extracted from the report). The TBox declarations are almost always identical, so this scope is the stricter one.</t>
  </si>
  <si>
    <t xml:space="preserve">Colour legend</t>
  </si>
  <si>
    <t xml:space="preserve">Blue font = input counts generated from the RDF files by jaccard_multiconjunto.py (rdflib). Black font = Excel formulas. Heat maps: red ≤ 0.60, yellow 0.85, green = 1.00.</t>
  </si>
  <si>
    <t xml:space="preserve">Notes</t>
  </si>
  <si>
    <t xml:space="preserve">SD over the 10 pairs is descriptive only: the pairs share runs, so they are not independent observations.</t>
  </si>
  <si>
    <t xml:space="preserve">Because literal values are abstracted to their datatype, J_w measures structural agreement; it does not detect differences in values (amounts, dates…).</t>
  </si>
  <si>
    <t xml:space="preserve">Summary — run-to-run structural consistency of the RDF outputs (6 reports × 5 runs)</t>
  </si>
  <si>
    <t xml:space="preserve">All values are formulas that read the per-report sheets. Error bars in the first chart show the min–max range of the 10 pairwise values.</t>
  </si>
  <si>
    <t xml:space="preserve">Report</t>
  </si>
  <si>
    <t xml:space="preserve">Runs</t>
  </si>
  <si>
    <t xml:space="preserve">Mean J_w (full)</t>
  </si>
  <si>
    <t xml:space="preserve">SD (full)</t>
  </si>
  <si>
    <t xml:space="preserve">Min (full)</t>
  </si>
  <si>
    <t xml:space="preserve">Max (full)</t>
  </si>
  <si>
    <t xml:space="preserve">Global J_w 5 runs (full)</t>
  </si>
  <si>
    <t xml:space="preserve">Mean J_w (ABox)</t>
  </si>
  <si>
    <t xml:space="preserve">SD (ABox)</t>
  </si>
  <si>
    <t xml:space="preserve">Min (ABox)</t>
  </si>
  <si>
    <t xml:space="preserve">Max (ABox)</t>
  </si>
  <si>
    <t xml:space="preserve">Global J_w 5 runs (ABox)</t>
  </si>
  <si>
    <t xml:space="preserve">Distinct shapes/run (full)</t>
  </si>
  <si>
    <t xml:space="preserve">Distinct shapes/run (ABox)</t>
  </si>
  <si>
    <t xml:space="preserve">Triples/run (full)</t>
  </si>
  <si>
    <t xml:space="preserve">Triples/run (ABox)</t>
  </si>
  <si>
    <t xml:space="preserve">err− full</t>
  </si>
  <si>
    <t xml:space="preserve">err+ full</t>
  </si>
  <si>
    <t xml:space="preserve">err− ABox</t>
  </si>
  <si>
    <t xml:space="preserve">err+ ABox</t>
  </si>
  <si>
    <t xml:space="preserve">Report 1</t>
  </si>
  <si>
    <t xml:space="preserve">Report 2</t>
  </si>
  <si>
    <t xml:space="preserve">Report 3</t>
  </si>
  <si>
    <t xml:space="preserve">Report 4</t>
  </si>
  <si>
    <t xml:space="preserve">Report 5</t>
  </si>
  <si>
    <t xml:space="preserve">Report 6</t>
  </si>
  <si>
    <t xml:space="preserve">All reports (60 pairs)</t>
  </si>
  <si>
    <t xml:space="preserve">Row 'All reports': mean/SD/min/max over the 60 pairwise values (Pairs sheet); 'Global' column = mean of the six per-report global values.</t>
  </si>
  <si>
    <t xml:space="preserve">Pairs with J_w = 1 (Full graph)</t>
  </si>
  <si>
    <t xml:space="preserve">of 60</t>
  </si>
  <si>
    <t xml:space="preserve">Pairs with J_w = 1 (ABox)</t>
  </si>
  <si>
    <t xml:space="preserve">Reports with J_w = 1 in all 10 pairs (ABox)</t>
  </si>
  <si>
    <t xml:space="preserve">Lexical baseline — plain set Jaccard on exact triples (IRIs as written; triples with blank nodes excluded)</t>
  </si>
  <si>
    <t xml:space="preserve">Blue values are computed by jaccard_multiconjunto.py (function tripletas_exactas / individuos), not by Excel formulas: an exact-triple comparison cannot be expressed on the shape counts.</t>
  </si>
  <si>
    <t xml:space="preserve">Exact-triple Jaccard (mean of 10 pairs)</t>
  </si>
  <si>
    <t xml:space="preserve">Exact-triple Jaccard (min)</t>
  </si>
  <si>
    <t xml:space="preserve">Exact-triple Jaccard (max)</t>
  </si>
  <si>
    <t xml:space="preserve">Pairs with identical individual-IRI sets (of 10)</t>
  </si>
  <si>
    <t xml:space="preserve">Gap: J_w (ABox) − exact</t>
  </si>
  <si>
    <t xml:space="preserve">All 60 pairwise values (10 pairs × 6 reports)</t>
  </si>
  <si>
    <t xml:space="preserve">Columns H–I only shift the x position so both scopes are visible side by side in the scatter chart.</t>
  </si>
  <si>
    <t xml:space="preserve">Report #</t>
  </si>
  <si>
    <t xml:space="preserve">Pair</t>
  </si>
  <si>
    <t xml:space="preserve">Run i</t>
  </si>
  <si>
    <t xml:space="preserve">Run j</t>
  </si>
  <si>
    <t xml:space="preserve">J_w full graph</t>
  </si>
  <si>
    <t xml:space="preserve">J_w ABox</t>
  </si>
  <si>
    <t xml:space="preserve">x (full, offset)</t>
  </si>
  <si>
    <t xml:space="preserve">x (ABox, offset)</t>
  </si>
  <si>
    <t xml:space="preserve">R1–R2</t>
  </si>
  <si>
    <t xml:space="preserve">R1–R3</t>
  </si>
  <si>
    <t xml:space="preserve">R1–R4</t>
  </si>
  <si>
    <t xml:space="preserve">R1–R5</t>
  </si>
  <si>
    <t xml:space="preserve">R2–R3</t>
  </si>
  <si>
    <t xml:space="preserve">R2–R4</t>
  </si>
  <si>
    <t xml:space="preserve">R2–R5</t>
  </si>
  <si>
    <t xml:space="preserve">R3–R4</t>
  </si>
  <si>
    <t xml:space="preserve">R3–R5</t>
  </si>
  <si>
    <t xml:space="preserve">R4–R5</t>
  </si>
  <si>
    <t xml:space="preserve">Report 1 — shape counts per run and pairwise multiset Jaccard</t>
  </si>
  <si>
    <t xml:space="preserve">Blue cells = shape counts extracted from the RDF files (inputs). Black cells = formulas. Shaded rows = shapes whose count differs across runs.</t>
  </si>
  <si>
    <t xml:space="preserve">Shape ID</t>
  </si>
  <si>
    <t xml:space="preserve">Subject shape</t>
  </si>
  <si>
    <t xml:space="preserve">Predicate</t>
  </si>
  <si>
    <t xml:space="preserve">Object shape</t>
  </si>
  <si>
    <t xml:space="preserve">ABox (1) / TBox (0)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</si>
  <si>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</si>
  <si>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</si>
  <si>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</si>
  <si>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</si>
  <si>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</si>
  <si>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Min (5 runs)</t>
  </si>
  <si>
    <t xml:space="preserve">Max (5 runs)</t>
  </si>
  <si>
    <t xml:space="preserve">Max − Min</t>
  </si>
  <si>
    <t xml:space="preserve">Run</t>
  </si>
  <si>
    <t xml:space="preserve">Source RDF file</t>
  </si>
  <si>
    <t xml:space="preserve">F01</t>
  </si>
  <si>
    <t xml:space="preserve">&lt;d:Accused&gt;</t>
  </si>
  <si>
    <t xml:space="preserve">rdf:type</t>
  </si>
  <si>
    <t xml:space="preserve">d:Accused</t>
  </si>
  <si>
    <t xml:space="preserve">1INFORME_Atestado1.rdf</t>
  </si>
  <si>
    <t xml:space="preserve">F02</t>
  </si>
  <si>
    <t xml:space="preserve">&lt;d:Punishment&gt;</t>
  </si>
  <si>
    <t xml:space="preserve">d:Punishment</t>
  </si>
  <si>
    <t xml:space="preserve">1INFORME_Atestado1 (1).rdf</t>
  </si>
  <si>
    <t xml:space="preserve">F03</t>
  </si>
  <si>
    <t xml:space="preserve">&lt;d:Report&gt;</t>
  </si>
  <si>
    <t xml:space="preserve">[owl:complementOf=[owl:onProperty=d:hasOffenceCharacteristic;owl:someValuesFrom=d:RobberyCharacteristic;rdf:type=owl:Restriction];rdf:type=owl:Class]</t>
  </si>
  <si>
    <t xml:space="preserve">1INFORME_Atestado1 (2).rdf</t>
  </si>
  <si>
    <t xml:space="preserve">F04</t>
  </si>
  <si>
    <t xml:space="preserve">d:Report</t>
  </si>
  <si>
    <t xml:space="preserve">1INFORME_Atestado1 (3).rdf</t>
  </si>
  <si>
    <t xml:space="preserve">F05</t>
  </si>
  <si>
    <t xml:space="preserve">&lt;d:StolenGoods&gt;</t>
  </si>
  <si>
    <t xml:space="preserve">d:StolenGoods</t>
  </si>
  <si>
    <t xml:space="preserve">1INFORME_Atestado1 (4).rdf</t>
  </si>
  <si>
    <t xml:space="preserve">F06</t>
  </si>
  <si>
    <t xml:space="preserve">&lt;d:Victim&gt;</t>
  </si>
  <si>
    <t xml:space="preserve">d:Victim</t>
  </si>
  <si>
    <t xml:space="preserve">F07</t>
  </si>
  <si>
    <t xml:space="preserve">&lt;SinTipo&gt;</t>
  </si>
  <si>
    <t xml:space="preserve">d:belongsTo</t>
  </si>
  <si>
    <t xml:space="preserve">Pairwise J_w — full graph</t>
  </si>
  <si>
    <t xml:space="preserve">F08</t>
  </si>
  <si>
    <t xml:space="preserve">d:stolenBy</t>
  </si>
  <si>
    <t xml:space="preserve">F09</t>
  </si>
  <si>
    <t xml:space="preserve">d:usedByOwner</t>
  </si>
  <si>
    <t xml:space="preserve">F10</t>
  </si>
  <si>
    <t xml:space="preserve">d:hasPreviusSentence</t>
  </si>
  <si>
    <t xml:space="preserve">F11</t>
  </si>
  <si>
    <t xml:space="preserve">d:num</t>
  </si>
  <si>
    <t xml:space="preserve">Lit^^xsd:integer</t>
  </si>
  <si>
    <t xml:space="preserve">F12</t>
  </si>
  <si>
    <t xml:space="preserve">d:stolenthing</t>
  </si>
  <si>
    <t xml:space="preserve">F13</t>
  </si>
  <si>
    <t xml:space="preserve">d:ValueCost</t>
  </si>
  <si>
    <t xml:space="preserve">Lit^^xsd:decimal</t>
  </si>
  <si>
    <t xml:space="preserve">F14</t>
  </si>
  <si>
    <t xml:space="preserve">F15</t>
  </si>
  <si>
    <t xml:space="preserve">Pairwise J_w — ABox only</t>
  </si>
  <si>
    <t xml:space="preserve">F16</t>
  </si>
  <si>
    <t xml:space="preserve">F17</t>
  </si>
  <si>
    <t xml:space="preserve">owl:Class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</si>
  <si>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</si>
  <si>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</si>
  <si>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</si>
  <si>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</si>
  <si>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</si>
  <si>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owl:ObjectProperty</t>
  </si>
  <si>
    <t xml:space="preserve">F23</t>
  </si>
  <si>
    <t xml:space="preserve">F24</t>
  </si>
  <si>
    <t xml:space="preserve">d:nombre</t>
  </si>
  <si>
    <t xml:space="preserve">owl:DatatypeProperty</t>
  </si>
  <si>
    <t xml:space="preserve">F25</t>
  </si>
  <si>
    <t xml:space="preserve">d:rango</t>
  </si>
  <si>
    <t xml:space="preserve">F26</t>
  </si>
  <si>
    <t xml:space="preserve">F27</t>
  </si>
  <si>
    <t xml:space="preserve">F28</t>
  </si>
  <si>
    <t xml:space="preserve">F29</t>
  </si>
  <si>
    <t xml:space="preserve">d:valor</t>
  </si>
  <si>
    <t xml:space="preserve">F30</t>
  </si>
  <si>
    <t xml:space="preserve">rdfs:label</t>
  </si>
  <si>
    <t xml:space="preserve">Lit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</si>
  <si>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</si>
  <si>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</si>
  <si>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</si>
  <si>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</si>
  <si>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</si>
  <si>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Statistic</t>
  </si>
  <si>
    <t xml:space="preserve">Full graph</t>
  </si>
  <si>
    <t xml:space="preserve">ABox</t>
  </si>
  <si>
    <t xml:space="preserve">F36</t>
  </si>
  <si>
    <t xml:space="preserve">Mean of the 10 pairs</t>
  </si>
  <si>
    <t xml:space="preserve">F37</t>
  </si>
  <si>
    <t xml:space="preserve">SD of the 10 pairs (sample)</t>
  </si>
  <si>
    <t xml:space="preserve">Triples (full graph)</t>
  </si>
  <si>
    <t xml:space="preserve">Minimum pair</t>
  </si>
  <si>
    <t xml:space="preserve">Triples (ABox)</t>
  </si>
  <si>
    <t xml:space="preserve">Maximum pair</t>
  </si>
  <si>
    <t xml:space="preserve">Distinct shapes (full graph)</t>
  </si>
  <si>
    <t xml:space="preserve">Global J_w (5 runs at once)</t>
  </si>
  <si>
    <t xml:space="preserve">Distinct shapes (ABox)</t>
  </si>
  <si>
    <t xml:space="preserve">Distinct shapes per run (mean)</t>
  </si>
  <si>
    <t xml:space="preserve">Triples per run (mean)</t>
  </si>
  <si>
    <t xml:space="preserve">Report 2 — shape counts per run and pairwise multiset Jaccard</t>
  </si>
  <si>
    <t xml:space="preserve">1INFORME_Atestado2.rdf</t>
  </si>
  <si>
    <t xml:space="preserve">1INFORME_Atestado2 (1).rdf</t>
  </si>
  <si>
    <t xml:space="preserve">1INFORME_Atestado2 (2).rdf</t>
  </si>
  <si>
    <t xml:space="preserve">1INFORME_Atestado2 (3).rdf</t>
  </si>
  <si>
    <t xml:space="preserve">1INFORME_Atestado2 (4).rdf</t>
  </si>
  <si>
    <t xml:space="preserve">Report 3 — shape counts per run and pairwise multiset Jaccard</t>
  </si>
  <si>
    <t xml:space="preserve">&lt;d:Accused+d:CollaborationWithCriminalOrganisation+d:MinorAccomplice+d:OlderDetention&gt;</t>
  </si>
  <si>
    <t xml:space="preserve">1INFORME_Atestado3.rdf</t>
  </si>
  <si>
    <t xml:space="preserve">d:CollaborationWithCriminalOrganisation</t>
  </si>
  <si>
    <t xml:space="preserve">1INFORME_Atestado3 (1).rdf</t>
  </si>
  <si>
    <t xml:space="preserve">d:MinorAccomplice</t>
  </si>
  <si>
    <t xml:space="preserve">1INFORME_Atestado3 (2).rdf</t>
  </si>
  <si>
    <t xml:space="preserve">d:OlderDetention</t>
  </si>
  <si>
    <t xml:space="preserve">1INFORME_Atestado3 (3).rdf</t>
  </si>
  <si>
    <t xml:space="preserve">&lt;d:BurglaryCrime&gt;</t>
  </si>
  <si>
    <t xml:space="preserve">d:BurglaryCrime</t>
  </si>
  <si>
    <t xml:space="preserve">1INFORME_Atestado3 (4).rdf</t>
  </si>
  <si>
    <t xml:space="preserve">&lt;d:HouseOrPremiseBreaking&gt;</t>
  </si>
  <si>
    <t xml:space="preserve">d:HouseOrPremiseBreaking</t>
  </si>
  <si>
    <t xml:space="preserve">&lt;d:RobberyCharacteristic&gt;</t>
  </si>
  <si>
    <t xml:space="preserve">d:RobberyCharacteristic</t>
  </si>
  <si>
    <t xml:space="preserve">d:hasOffenceCharacteristic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</si>
  <si>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</si>
  <si>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</si>
  <si>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</si>
  <si>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</si>
  <si>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</si>
  <si>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</si>
  <si>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</si>
  <si>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</si>
  <si>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</si>
  <si>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Report 4 — shape counts per run and pairwise multiset Jaccard</t>
  </si>
  <si>
    <t xml:space="preserve">1INFORME_Atestado4.rdf</t>
  </si>
  <si>
    <t xml:space="preserve">1INFORME_Atestado4 (1).rdf</t>
  </si>
  <si>
    <t xml:space="preserve">1INFORME_Atestado4 (2).rdf</t>
  </si>
  <si>
    <t xml:space="preserve">1INFORME_Atestado4 (3).rdf</t>
  </si>
  <si>
    <t xml:space="preserve">1INFORME_Atestado4 (4).rdf</t>
  </si>
  <si>
    <t xml:space="preserve">&lt;d:RobberyWithIntimidationOrViolence&gt;</t>
  </si>
  <si>
    <t xml:space="preserve">d:RobberyWithIntimidationOrViolence</t>
  </si>
  <si>
    <t xml:space="preserve">Report 5 — shape counts per run and pairwise multiset Jaccard</t>
  </si>
  <si>
    <t xml:space="preserve">1INFORME_Atestado5.rdf</t>
  </si>
  <si>
    <t xml:space="preserve">1INFORME_Atestado5 (1).rdf</t>
  </si>
  <si>
    <t xml:space="preserve">1INFORME_Atestado5 (2).rdf</t>
  </si>
  <si>
    <t xml:space="preserve">1INFORME_Atestado5 (3).rdf</t>
  </si>
  <si>
    <t xml:space="preserve">1INFORME_Atestado5 (4).rdf</t>
  </si>
  <si>
    <t xml:space="preserve">Report 6 — shape counts per run and pairwise multiset Jaccard</t>
  </si>
  <si>
    <t xml:space="preserve">1INFORME_Atestado6.rdf</t>
  </si>
  <si>
    <t xml:space="preserve">1INFORME_Atestado6 (1).rdf</t>
  </si>
  <si>
    <t xml:space="preserve">1INFORME_Atestado6 (2).rdf</t>
  </si>
  <si>
    <t xml:space="preserve">1INFORME_Atestado6 (3).rdf</t>
  </si>
  <si>
    <t xml:space="preserve">&lt;d:ArmedRobbery&gt;</t>
  </si>
  <si>
    <t xml:space="preserve">d:ArmedRobbery</t>
  </si>
  <si>
    <t xml:space="preserve">1INFORME_Atestado6 (4).rdf</t>
  </si>
  <si>
    <t xml:space="preserve">d:hasAggravatingFactor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</si>
</sst>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0"/>
    <numFmt numFmtId="168" formatCode="General"/>
    <numFmt numFmtId="169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30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C55A11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pairwise J_w per report (bars: min–max)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Mean J_w (full)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Summary!$R$5:$R$10</c:f>
                <c:numCache>
                  <c:formatCode>0.000</c:formatCode>
                  <c:ptCount val="6"/>
                  <c:pt idx="0">
                    <c:v>0.0619710147572852</c:v>
                  </c:pt>
                  <c:pt idx="1">
                    <c:v>0.0705882352941177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0.0347826086956522</c:v>
                  </c:pt>
                </c:numCache>
              </c:numRef>
            </c:plus>
            <c:minus>
              <c:numRef>
                <c:f>Summary!$Q$5:$Q$10</c:f>
                <c:numCache>
                  <c:formatCode>0.000</c:formatCode>
                  <c:ptCount val="6"/>
                  <c:pt idx="0">
                    <c:v>0.0519530358756263</c:v>
                  </c:pt>
                  <c:pt idx="1">
                    <c:v>0.105882352941176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0.0521739130434783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Summary!$C$5:$C$10</c:f>
              <c:numCache>
                <c:formatCode>0.000</c:formatCode>
                <c:ptCount val="6"/>
                <c:pt idx="0">
                  <c:v>0.938028985242715</c:v>
                </c:pt>
                <c:pt idx="1">
                  <c:v>0.929411764705882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0.965217391304348</c:v>
                </c:pt>
              </c:numCache>
            </c:numRef>
          </c:val>
        </c:ser>
        <c:ser>
          <c:idx val="1"/>
          <c:order val="1"/>
          <c:tx>
            <c:strRef>
              <c:f>Summary!H4</c:f>
              <c:strCache>
                <c:ptCount val="1"/>
                <c:pt idx="0">
                  <c:v>Mean J_w (ABox)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Summary!$T$5:$T$10</c:f>
                <c:numCache>
                  <c:formatCode>0.000</c:formatCode>
                  <c:ptCount val="6"/>
                  <c:pt idx="0">
                    <c:v>0.0850482276344347</c:v>
                  </c:pt>
                  <c:pt idx="1">
                    <c:v>0.15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0.0615384615384615</c:v>
                  </c:pt>
                </c:numCache>
              </c:numRef>
            </c:plus>
            <c:minus>
              <c:numRef>
                <c:f>Summary!$S$5:$S$10</c:f>
                <c:numCache>
                  <c:formatCode>0.000</c:formatCode>
                  <c:ptCount val="6"/>
                  <c:pt idx="0">
                    <c:v>0.0701241861586688</c:v>
                  </c:pt>
                  <c:pt idx="1">
                    <c:v>0.225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0.0923076923076923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Summary!$H$5:$H$10</c:f>
              <c:numCache>
                <c:formatCode>0.000</c:formatCode>
                <c:ptCount val="6"/>
                <c:pt idx="0">
                  <c:v>0.914951772365565</c:v>
                </c:pt>
                <c:pt idx="1">
                  <c:v>0.85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0.938461538461539</c:v>
                </c:pt>
              </c:numCache>
            </c:numRef>
          </c:val>
        </c:ser>
        <c:gapWidth val="150"/>
        <c:overlap val="0"/>
        <c:axId val="32867510"/>
        <c:axId val="28296185"/>
      </c:barChart>
      <c:catAx>
        <c:axId val="328675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96185"/>
        <c:crosses val="autoZero"/>
        <c:auto val="1"/>
        <c:lblAlgn val="ctr"/>
        <c:lblOffset val="100"/>
        <c:noMultiLvlLbl val="0"/>
      </c:catAx>
      <c:valAx>
        <c:axId val="2829618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J_w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751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J_w over the 5 runs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Summary!G4</c:f>
              <c:strCache>
                <c:ptCount val="1"/>
                <c:pt idx="0">
                  <c:v>Global J_w 5 runs (full)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Summary!$G$5:$G$10</c:f>
              <c:numCache>
                <c:formatCode>0.000</c:formatCode>
                <c:ptCount val="6"/>
                <c:pt idx="0">
                  <c:v>0.886075949367089</c:v>
                </c:pt>
                <c:pt idx="1">
                  <c:v>0.823529411764706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0.91304347826087</c:v>
                </c:pt>
              </c:numCache>
            </c:numRef>
          </c:val>
        </c:ser>
        <c:ser>
          <c:idx val="1"/>
          <c:order val="1"/>
          <c:tx>
            <c:strRef>
              <c:f>Summary!L4</c:f>
              <c:strCache>
                <c:ptCount val="1"/>
                <c:pt idx="0">
                  <c:v>Global J_w 5 runs (ABox)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Summary!$L$5:$L$10</c:f>
              <c:numCache>
                <c:formatCode>0.000</c:formatCode>
                <c:ptCount val="6"/>
                <c:pt idx="0">
                  <c:v>0.844827586206897</c:v>
                </c:pt>
                <c:pt idx="1">
                  <c:v>0.625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0.846153846153846</c:v>
                </c:pt>
              </c:numCache>
            </c:numRef>
          </c:val>
        </c:ser>
        <c:gapWidth val="150"/>
        <c:overlap val="0"/>
        <c:axId val="26583595"/>
        <c:axId val="64706308"/>
      </c:barChart>
      <c:catAx>
        <c:axId val="26583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06308"/>
        <c:crosses val="autoZero"/>
        <c:auto val="1"/>
        <c:lblAlgn val="ctr"/>
        <c:lblOffset val="100"/>
        <c:noMultiLvlLbl val="0"/>
      </c:catAx>
      <c:valAx>
        <c:axId val="6470630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J_w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83595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Shape-level J_w (ABox) vs. exact-triple Jaccard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Summary!F40</c:f>
              <c:strCache>
                <c:ptCount val="1"/>
                <c:pt idx="0">
                  <c:v>Mean J_w (ABox)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Summary!$A$41:$A$46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Summary!$F$41:$F$46</c:f>
              <c:numCache>
                <c:formatCode>0.000</c:formatCode>
                <c:ptCount val="6"/>
                <c:pt idx="0">
                  <c:v>0.914951772365565</c:v>
                </c:pt>
                <c:pt idx="1">
                  <c:v>0.85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0.938461538461539</c:v>
                </c:pt>
              </c:numCache>
            </c:numRef>
          </c:val>
        </c:ser>
        <c:ser>
          <c:idx val="1"/>
          <c:order val="1"/>
          <c:tx>
            <c:strRef>
              <c:f>Summary!B40</c:f>
              <c:strCache>
                <c:ptCount val="1"/>
                <c:pt idx="0">
                  <c:v>Exact-triple Jaccard (mean of 10 pairs)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Summary!$A$41:$A$46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Summary!$B$41:$B$46</c:f>
              <c:numCache>
                <c:formatCode>0.000</c:formatCode>
                <c:ptCount val="6"/>
                <c:pt idx="0">
                  <c:v>0.89363</c:v>
                </c:pt>
                <c:pt idx="1">
                  <c:v>0.593846</c:v>
                </c:pt>
                <c:pt idx="2">
                  <c:v>0.671622</c:v>
                </c:pt>
                <c:pt idx="3">
                  <c:v>0.487808</c:v>
                </c:pt>
                <c:pt idx="4">
                  <c:v>0.471448</c:v>
                </c:pt>
                <c:pt idx="5">
                  <c:v>0.514597</c:v>
                </c:pt>
              </c:numCache>
            </c:numRef>
          </c:val>
        </c:ser>
        <c:gapWidth val="150"/>
        <c:overlap val="0"/>
        <c:axId val="87134063"/>
        <c:axId val="57801837"/>
      </c:barChart>
      <c:catAx>
        <c:axId val="87134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01837"/>
        <c:crosses val="autoZero"/>
        <c:auto val="1"/>
        <c:lblAlgn val="ctr"/>
        <c:lblOffset val="100"/>
        <c:noMultiLvlLbl val="0"/>
      </c:catAx>
      <c:valAx>
        <c:axId val="5780183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J_w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34063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Pairwise J_w per report (each dot = one pair of runs)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Pairs!F4</c:f>
              <c:strCache>
                <c:ptCount val="1"/>
                <c:pt idx="0">
                  <c:v>J_w full graph</c:v>
                </c:pt>
              </c:strCache>
            </c:strRef>
          </c:tx>
          <c:spPr>
            <a:solidFill>
              <a:srgbClr val="30549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3054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Pairs!$H$5:$H$64</c:f>
              <c:numCache>
                <c:formatCode>0.00</c:formatCode>
                <c:ptCount val="60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1.85</c:v>
                </c:pt>
                <c:pt idx="11">
                  <c:v>1.85</c:v>
                </c:pt>
                <c:pt idx="12">
                  <c:v>1.85</c:v>
                </c:pt>
                <c:pt idx="13">
                  <c:v>1.85</c:v>
                </c:pt>
                <c:pt idx="14">
                  <c:v>1.85</c:v>
                </c:pt>
                <c:pt idx="15">
                  <c:v>1.85</c:v>
                </c:pt>
                <c:pt idx="16">
                  <c:v>1.85</c:v>
                </c:pt>
                <c:pt idx="17">
                  <c:v>1.85</c:v>
                </c:pt>
                <c:pt idx="18">
                  <c:v>1.85</c:v>
                </c:pt>
                <c:pt idx="19">
                  <c:v>1.85</c:v>
                </c:pt>
                <c:pt idx="20">
                  <c:v>2.85</c:v>
                </c:pt>
                <c:pt idx="21">
                  <c:v>2.85</c:v>
                </c:pt>
                <c:pt idx="22">
                  <c:v>2.85</c:v>
                </c:pt>
                <c:pt idx="23">
                  <c:v>2.85</c:v>
                </c:pt>
                <c:pt idx="24">
                  <c:v>2.85</c:v>
                </c:pt>
                <c:pt idx="25">
                  <c:v>2.85</c:v>
                </c:pt>
                <c:pt idx="26">
                  <c:v>2.85</c:v>
                </c:pt>
                <c:pt idx="27">
                  <c:v>2.85</c:v>
                </c:pt>
                <c:pt idx="28">
                  <c:v>2.85</c:v>
                </c:pt>
                <c:pt idx="29">
                  <c:v>2.85</c:v>
                </c:pt>
                <c:pt idx="30">
                  <c:v>3.85</c:v>
                </c:pt>
                <c:pt idx="31">
                  <c:v>3.85</c:v>
                </c:pt>
                <c:pt idx="32">
                  <c:v>3.85</c:v>
                </c:pt>
                <c:pt idx="33">
                  <c:v>3.85</c:v>
                </c:pt>
                <c:pt idx="34">
                  <c:v>3.85</c:v>
                </c:pt>
                <c:pt idx="35">
                  <c:v>3.85</c:v>
                </c:pt>
                <c:pt idx="36">
                  <c:v>3.85</c:v>
                </c:pt>
                <c:pt idx="37">
                  <c:v>3.85</c:v>
                </c:pt>
                <c:pt idx="38">
                  <c:v>3.85</c:v>
                </c:pt>
                <c:pt idx="39">
                  <c:v>3.85</c:v>
                </c:pt>
                <c:pt idx="40">
                  <c:v>4.85</c:v>
                </c:pt>
                <c:pt idx="41">
                  <c:v>4.85</c:v>
                </c:pt>
                <c:pt idx="42">
                  <c:v>4.85</c:v>
                </c:pt>
                <c:pt idx="43">
                  <c:v>4.85</c:v>
                </c:pt>
                <c:pt idx="44">
                  <c:v>4.85</c:v>
                </c:pt>
                <c:pt idx="45">
                  <c:v>4.85</c:v>
                </c:pt>
                <c:pt idx="46">
                  <c:v>4.85</c:v>
                </c:pt>
                <c:pt idx="47">
                  <c:v>4.85</c:v>
                </c:pt>
                <c:pt idx="48">
                  <c:v>4.85</c:v>
                </c:pt>
                <c:pt idx="49">
                  <c:v>4.85</c:v>
                </c:pt>
                <c:pt idx="50">
                  <c:v>5.85</c:v>
                </c:pt>
                <c:pt idx="51">
                  <c:v>5.85</c:v>
                </c:pt>
                <c:pt idx="52">
                  <c:v>5.85</c:v>
                </c:pt>
                <c:pt idx="53">
                  <c:v>5.85</c:v>
                </c:pt>
                <c:pt idx="54">
                  <c:v>5.85</c:v>
                </c:pt>
                <c:pt idx="55">
                  <c:v>5.85</c:v>
                </c:pt>
                <c:pt idx="56">
                  <c:v>5.85</c:v>
                </c:pt>
                <c:pt idx="57">
                  <c:v>5.85</c:v>
                </c:pt>
                <c:pt idx="58">
                  <c:v>5.85</c:v>
                </c:pt>
                <c:pt idx="59">
                  <c:v>5.85</c:v>
                </c:pt>
              </c:numCache>
            </c:numRef>
          </c:xVal>
          <c:yVal>
            <c:numRef>
              <c:f>Pairs!$F$5:$F$64</c:f>
              <c:numCache>
                <c:formatCode>0.000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0.921052631578947</c:v>
                </c:pt>
                <c:pt idx="3">
                  <c:v>0.886075949367089</c:v>
                </c:pt>
                <c:pt idx="4">
                  <c:v>1</c:v>
                </c:pt>
                <c:pt idx="5">
                  <c:v>0.921052631578947</c:v>
                </c:pt>
                <c:pt idx="6">
                  <c:v>0.886075949367089</c:v>
                </c:pt>
                <c:pt idx="7">
                  <c:v>0.921052631578947</c:v>
                </c:pt>
                <c:pt idx="8">
                  <c:v>0.886075949367089</c:v>
                </c:pt>
                <c:pt idx="9">
                  <c:v>0.958904109589041</c:v>
                </c:pt>
                <c:pt idx="10">
                  <c:v>1</c:v>
                </c:pt>
                <c:pt idx="11">
                  <c:v>1</c:v>
                </c:pt>
                <c:pt idx="12">
                  <c:v>0.823529411764706</c:v>
                </c:pt>
                <c:pt idx="13">
                  <c:v>1</c:v>
                </c:pt>
                <c:pt idx="14">
                  <c:v>1</c:v>
                </c:pt>
                <c:pt idx="15">
                  <c:v>0.823529411764706</c:v>
                </c:pt>
                <c:pt idx="16">
                  <c:v>1</c:v>
                </c:pt>
                <c:pt idx="17">
                  <c:v>0.823529411764706</c:v>
                </c:pt>
                <c:pt idx="18">
                  <c:v>1</c:v>
                </c:pt>
                <c:pt idx="19">
                  <c:v>0.823529411764706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0.91304347826087</c:v>
                </c:pt>
                <c:pt idx="54">
                  <c:v>1</c:v>
                </c:pt>
                <c:pt idx="55">
                  <c:v>1</c:v>
                </c:pt>
                <c:pt idx="56">
                  <c:v>0.91304347826087</c:v>
                </c:pt>
                <c:pt idx="57">
                  <c:v>1</c:v>
                </c:pt>
                <c:pt idx="58">
                  <c:v>0.91304347826087</c:v>
                </c:pt>
                <c:pt idx="59">
                  <c:v>0.91304347826087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Pairs!G4</c:f>
              <c:strCache>
                <c:ptCount val="1"/>
                <c:pt idx="0">
                  <c:v>J_w ABox</c:v>
                </c:pt>
              </c:strCache>
            </c:strRef>
          </c:tx>
          <c:spPr>
            <a:solidFill>
              <a:srgbClr val="c55a11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Pairs!$I$5:$I$64</c:f>
              <c:numCache>
                <c:formatCode>0.00</c:formatCode>
                <c:ptCount val="60"/>
                <c:pt idx="0">
                  <c:v>1.15</c:v>
                </c:pt>
                <c:pt idx="1">
                  <c:v>1.15</c:v>
                </c:pt>
                <c:pt idx="2">
                  <c:v>1.15</c:v>
                </c:pt>
                <c:pt idx="3">
                  <c:v>1.15</c:v>
                </c:pt>
                <c:pt idx="4">
                  <c:v>1.15</c:v>
                </c:pt>
                <c:pt idx="5">
                  <c:v>1.15</c:v>
                </c:pt>
                <c:pt idx="6">
                  <c:v>1.15</c:v>
                </c:pt>
                <c:pt idx="7">
                  <c:v>1.15</c:v>
                </c:pt>
                <c:pt idx="8">
                  <c:v>1.15</c:v>
                </c:pt>
                <c:pt idx="9">
                  <c:v>1.15</c:v>
                </c:pt>
                <c:pt idx="10">
                  <c:v>2.15</c:v>
                </c:pt>
                <c:pt idx="11">
                  <c:v>2.15</c:v>
                </c:pt>
                <c:pt idx="12">
                  <c:v>2.15</c:v>
                </c:pt>
                <c:pt idx="13">
                  <c:v>2.15</c:v>
                </c:pt>
                <c:pt idx="14">
                  <c:v>2.15</c:v>
                </c:pt>
                <c:pt idx="15">
                  <c:v>2.15</c:v>
                </c:pt>
                <c:pt idx="16">
                  <c:v>2.15</c:v>
                </c:pt>
                <c:pt idx="17">
                  <c:v>2.15</c:v>
                </c:pt>
                <c:pt idx="18">
                  <c:v>2.15</c:v>
                </c:pt>
                <c:pt idx="19">
                  <c:v>2.15</c:v>
                </c:pt>
                <c:pt idx="20">
                  <c:v>3.15</c:v>
                </c:pt>
                <c:pt idx="21">
                  <c:v>3.15</c:v>
                </c:pt>
                <c:pt idx="22">
                  <c:v>3.15</c:v>
                </c:pt>
                <c:pt idx="23">
                  <c:v>3.15</c:v>
                </c:pt>
                <c:pt idx="24">
                  <c:v>3.15</c:v>
                </c:pt>
                <c:pt idx="25">
                  <c:v>3.15</c:v>
                </c:pt>
                <c:pt idx="26">
                  <c:v>3.15</c:v>
                </c:pt>
                <c:pt idx="27">
                  <c:v>3.15</c:v>
                </c:pt>
                <c:pt idx="28">
                  <c:v>3.15</c:v>
                </c:pt>
                <c:pt idx="29">
                  <c:v>3.15</c:v>
                </c:pt>
                <c:pt idx="30">
                  <c:v>4.15</c:v>
                </c:pt>
                <c:pt idx="31">
                  <c:v>4.15</c:v>
                </c:pt>
                <c:pt idx="32">
                  <c:v>4.15</c:v>
                </c:pt>
                <c:pt idx="33">
                  <c:v>4.15</c:v>
                </c:pt>
                <c:pt idx="34">
                  <c:v>4.15</c:v>
                </c:pt>
                <c:pt idx="35">
                  <c:v>4.15</c:v>
                </c:pt>
                <c:pt idx="36">
                  <c:v>4.15</c:v>
                </c:pt>
                <c:pt idx="37">
                  <c:v>4.15</c:v>
                </c:pt>
                <c:pt idx="38">
                  <c:v>4.15</c:v>
                </c:pt>
                <c:pt idx="39">
                  <c:v>4.15</c:v>
                </c:pt>
                <c:pt idx="40">
                  <c:v>5.15</c:v>
                </c:pt>
                <c:pt idx="41">
                  <c:v>5.15</c:v>
                </c:pt>
                <c:pt idx="42">
                  <c:v>5.15</c:v>
                </c:pt>
                <c:pt idx="43">
                  <c:v>5.15</c:v>
                </c:pt>
                <c:pt idx="44">
                  <c:v>5.15</c:v>
                </c:pt>
                <c:pt idx="45">
                  <c:v>5.15</c:v>
                </c:pt>
                <c:pt idx="46">
                  <c:v>5.15</c:v>
                </c:pt>
                <c:pt idx="47">
                  <c:v>5.15</c:v>
                </c:pt>
                <c:pt idx="48">
                  <c:v>5.15</c:v>
                </c:pt>
                <c:pt idx="49">
                  <c:v>5.15</c:v>
                </c:pt>
                <c:pt idx="50">
                  <c:v>6.15</c:v>
                </c:pt>
                <c:pt idx="51">
                  <c:v>6.15</c:v>
                </c:pt>
                <c:pt idx="52">
                  <c:v>6.15</c:v>
                </c:pt>
                <c:pt idx="53">
                  <c:v>6.15</c:v>
                </c:pt>
                <c:pt idx="54">
                  <c:v>6.15</c:v>
                </c:pt>
                <c:pt idx="55">
                  <c:v>6.15</c:v>
                </c:pt>
                <c:pt idx="56">
                  <c:v>6.15</c:v>
                </c:pt>
                <c:pt idx="57">
                  <c:v>6.15</c:v>
                </c:pt>
                <c:pt idx="58">
                  <c:v>6.15</c:v>
                </c:pt>
                <c:pt idx="59">
                  <c:v>6.15</c:v>
                </c:pt>
              </c:numCache>
            </c:numRef>
          </c:xVal>
          <c:yVal>
            <c:numRef>
              <c:f>Pairs!$G$5:$G$64</c:f>
              <c:numCache>
                <c:formatCode>0.000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0.890909090909091</c:v>
                </c:pt>
                <c:pt idx="3">
                  <c:v>0.844827586206897</c:v>
                </c:pt>
                <c:pt idx="4">
                  <c:v>1</c:v>
                </c:pt>
                <c:pt idx="5">
                  <c:v>0.890909090909091</c:v>
                </c:pt>
                <c:pt idx="6">
                  <c:v>0.844827586206897</c:v>
                </c:pt>
                <c:pt idx="7">
                  <c:v>0.890909090909091</c:v>
                </c:pt>
                <c:pt idx="8">
                  <c:v>0.844827586206897</c:v>
                </c:pt>
                <c:pt idx="9">
                  <c:v>0.942307692307692</c:v>
                </c:pt>
                <c:pt idx="10">
                  <c:v>1</c:v>
                </c:pt>
                <c:pt idx="11">
                  <c:v>1</c:v>
                </c:pt>
                <c:pt idx="12">
                  <c:v>0.625</c:v>
                </c:pt>
                <c:pt idx="13">
                  <c:v>1</c:v>
                </c:pt>
                <c:pt idx="14">
                  <c:v>1</c:v>
                </c:pt>
                <c:pt idx="15">
                  <c:v>0.625</c:v>
                </c:pt>
                <c:pt idx="16">
                  <c:v>1</c:v>
                </c:pt>
                <c:pt idx="17">
                  <c:v>0.625</c:v>
                </c:pt>
                <c:pt idx="18">
                  <c:v>1</c:v>
                </c:pt>
                <c:pt idx="19">
                  <c:v>0.625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0.846153846153846</c:v>
                </c:pt>
                <c:pt idx="54">
                  <c:v>1</c:v>
                </c:pt>
                <c:pt idx="55">
                  <c:v>1</c:v>
                </c:pt>
                <c:pt idx="56">
                  <c:v>0.846153846153846</c:v>
                </c:pt>
                <c:pt idx="57">
                  <c:v>1</c:v>
                </c:pt>
                <c:pt idx="58">
                  <c:v>0.846153846153846</c:v>
                </c:pt>
                <c:pt idx="59">
                  <c:v>0.846153846153846</c:v>
                </c:pt>
              </c:numCache>
            </c:numRef>
          </c:yVal>
          <c:smooth val="1"/>
        </c:ser>
        <c:axId val="80649438"/>
        <c:axId val="9928781"/>
      </c:scatterChart>
      <c:valAx>
        <c:axId val="80649438"/>
        <c:scaling>
          <c:orientation val="minMax"/>
          <c:max val="7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 (1–6)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8781"/>
        <c:crosses val="autoZero"/>
        <c:crossBetween val="midCat"/>
        <c:majorUnit val="1"/>
      </c:valAx>
      <c:valAx>
        <c:axId val="9928781"/>
        <c:scaling>
          <c:orientation val="minMax"/>
          <c:max val="1.05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J_w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49438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1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Report_1!F4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Report_1!$A$5:$A$20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Report_1!$F$5:$F$20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</c:ser>
        <c:ser>
          <c:idx val="1"/>
          <c:order val="1"/>
          <c:tx>
            <c:strRef>
              <c:f>Report_1!G4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Report_1!$A$5:$A$20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Report_1!$G$5:$G$20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</c:ser>
        <c:ser>
          <c:idx val="2"/>
          <c:order val="2"/>
          <c:tx>
            <c:strRef>
              <c:f>Report_1!H4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Report_1!$A$5:$A$20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Report_1!$H$5:$H$20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</c:ser>
        <c:ser>
          <c:idx val="3"/>
          <c:order val="3"/>
          <c:tx>
            <c:strRef>
              <c:f>Report_1!I4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Report_1!$A$5:$A$20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Report_1!$I$5:$I$20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</c:ser>
        <c:ser>
          <c:idx val="4"/>
          <c:order val="4"/>
          <c:tx>
            <c:strRef>
              <c:f>Report_1!J4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Report_1!$A$5:$A$20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Report_1!$J$5:$J$20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</c:ser>
        <c:gapWidth val="150"/>
        <c:overlap val="0"/>
        <c:axId val="37907859"/>
        <c:axId val="89002251"/>
      </c:barChart>
      <c:catAx>
        <c:axId val="379078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02251"/>
        <c:crosses val="autoZero"/>
        <c:auto val="1"/>
        <c:lblAlgn val="ctr"/>
        <c:lblOffset val="100"/>
        <c:noMultiLvlLbl val="0"/>
      </c:catAx>
      <c:valAx>
        <c:axId val="890022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07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2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Report_2!F4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Report_2!$A$5:$A$14</c:f>
              <c:strCache>
                <c:ptCount val="1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</c:strCache>
            </c:strRef>
          </c:cat>
          <c:val>
            <c:numRef>
              <c:f>Report_2!$F$5:$F$14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ser>
          <c:idx val="1"/>
          <c:order val="1"/>
          <c:tx>
            <c:strRef>
              <c:f>Report_2!G4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Report_2!$A$5:$A$14</c:f>
              <c:strCache>
                <c:ptCount val="1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</c:strCache>
            </c:strRef>
          </c:cat>
          <c:val>
            <c:numRef>
              <c:f>Report_2!$G$5:$G$14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ser>
          <c:idx val="2"/>
          <c:order val="2"/>
          <c:tx>
            <c:strRef>
              <c:f>Report_2!H4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Report_2!$A$5:$A$14</c:f>
              <c:strCache>
                <c:ptCount val="1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</c:strCache>
            </c:strRef>
          </c:cat>
          <c:val>
            <c:numRef>
              <c:f>Report_2!$H$5:$H$14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ser>
          <c:idx val="3"/>
          <c:order val="3"/>
          <c:tx>
            <c:strRef>
              <c:f>Report_2!I4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Report_2!$A$5:$A$14</c:f>
              <c:strCache>
                <c:ptCount val="1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</c:strCache>
            </c:strRef>
          </c:cat>
          <c:val>
            <c:numRef>
              <c:f>Report_2!$I$5:$I$14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4"/>
          <c:order val="4"/>
          <c:tx>
            <c:strRef>
              <c:f>Report_2!J4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Report_2!$A$5:$A$14</c:f>
              <c:strCache>
                <c:ptCount val="1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</c:strCache>
            </c:strRef>
          </c:cat>
          <c:val>
            <c:numRef>
              <c:f>Report_2!$J$5:$J$14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gapWidth val="150"/>
        <c:overlap val="0"/>
        <c:axId val="74206705"/>
        <c:axId val="34785660"/>
      </c:barChart>
      <c:catAx>
        <c:axId val="74206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85660"/>
        <c:crosses val="autoZero"/>
        <c:auto val="1"/>
        <c:lblAlgn val="ctr"/>
        <c:lblOffset val="100"/>
        <c:noMultiLvlLbl val="0"/>
      </c:catAx>
      <c:valAx>
        <c:axId val="347856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06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3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Report_3!F4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Report_3!$A$5:$A$23</c:f>
              <c:strCache>
                <c:ptCount val="19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  <c:pt idx="16">
                  <c:v>F17</c:v>
                </c:pt>
                <c:pt idx="17">
                  <c:v>F18</c:v>
                </c:pt>
                <c:pt idx="18">
                  <c:v>F19</c:v>
                </c:pt>
              </c:strCache>
            </c:strRef>
          </c:cat>
          <c:val>
            <c:numRef>
              <c:f>Report_3!$F$5:$F$23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ser>
          <c:idx val="1"/>
          <c:order val="1"/>
          <c:tx>
            <c:strRef>
              <c:f>Report_3!G4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Report_3!$A$5:$A$23</c:f>
              <c:strCache>
                <c:ptCount val="19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  <c:pt idx="16">
                  <c:v>F17</c:v>
                </c:pt>
                <c:pt idx="17">
                  <c:v>F18</c:v>
                </c:pt>
                <c:pt idx="18">
                  <c:v>F19</c:v>
                </c:pt>
              </c:strCache>
            </c:strRef>
          </c:cat>
          <c:val>
            <c:numRef>
              <c:f>Report_3!$G$5:$G$23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ser>
          <c:idx val="2"/>
          <c:order val="2"/>
          <c:tx>
            <c:strRef>
              <c:f>Report_3!H4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Report_3!$A$5:$A$23</c:f>
              <c:strCache>
                <c:ptCount val="19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  <c:pt idx="16">
                  <c:v>F17</c:v>
                </c:pt>
                <c:pt idx="17">
                  <c:v>F18</c:v>
                </c:pt>
                <c:pt idx="18">
                  <c:v>F19</c:v>
                </c:pt>
              </c:strCache>
            </c:strRef>
          </c:cat>
          <c:val>
            <c:numRef>
              <c:f>Report_3!$H$5:$H$23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ser>
          <c:idx val="3"/>
          <c:order val="3"/>
          <c:tx>
            <c:strRef>
              <c:f>Report_3!I4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Report_3!$A$5:$A$23</c:f>
              <c:strCache>
                <c:ptCount val="19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  <c:pt idx="16">
                  <c:v>F17</c:v>
                </c:pt>
                <c:pt idx="17">
                  <c:v>F18</c:v>
                </c:pt>
                <c:pt idx="18">
                  <c:v>F19</c:v>
                </c:pt>
              </c:strCache>
            </c:strRef>
          </c:cat>
          <c:val>
            <c:numRef>
              <c:f>Report_3!$I$5:$I$23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ser>
          <c:idx val="4"/>
          <c:order val="4"/>
          <c:tx>
            <c:strRef>
              <c:f>Report_3!J4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Report_3!$A$5:$A$23</c:f>
              <c:strCache>
                <c:ptCount val="19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  <c:pt idx="16">
                  <c:v>F17</c:v>
                </c:pt>
                <c:pt idx="17">
                  <c:v>F18</c:v>
                </c:pt>
                <c:pt idx="18">
                  <c:v>F19</c:v>
                </c:pt>
              </c:strCache>
            </c:strRef>
          </c:cat>
          <c:val>
            <c:numRef>
              <c:f>Report_3!$J$5:$J$23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gapWidth val="150"/>
        <c:overlap val="0"/>
        <c:axId val="44461813"/>
        <c:axId val="76634300"/>
      </c:barChart>
      <c:catAx>
        <c:axId val="44461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34300"/>
        <c:crosses val="autoZero"/>
        <c:auto val="1"/>
        <c:lblAlgn val="ctr"/>
        <c:lblOffset val="100"/>
        <c:noMultiLvlLbl val="0"/>
      </c:catAx>
      <c:valAx>
        <c:axId val="766343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61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4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Report_4!F4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Report_4!$A$5:$A$18</c:f>
              <c:strCache>
                <c:ptCount val="14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</c:strCache>
            </c:strRef>
          </c:cat>
          <c:val>
            <c:numRef>
              <c:f>Report_4!$F$5:$F$18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ser>
          <c:idx val="1"/>
          <c:order val="1"/>
          <c:tx>
            <c:strRef>
              <c:f>Report_4!G4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Report_4!$A$5:$A$18</c:f>
              <c:strCache>
                <c:ptCount val="14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</c:strCache>
            </c:strRef>
          </c:cat>
          <c:val>
            <c:numRef>
              <c:f>Report_4!$G$5:$G$18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ser>
          <c:idx val="2"/>
          <c:order val="2"/>
          <c:tx>
            <c:strRef>
              <c:f>Report_4!H4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Report_4!$A$5:$A$18</c:f>
              <c:strCache>
                <c:ptCount val="14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</c:strCache>
            </c:strRef>
          </c:cat>
          <c:val>
            <c:numRef>
              <c:f>Report_4!$H$5:$H$18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ser>
          <c:idx val="3"/>
          <c:order val="3"/>
          <c:tx>
            <c:strRef>
              <c:f>Report_4!I4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Report_4!$A$5:$A$18</c:f>
              <c:strCache>
                <c:ptCount val="14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</c:strCache>
            </c:strRef>
          </c:cat>
          <c:val>
            <c:numRef>
              <c:f>Report_4!$I$5:$I$18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ser>
          <c:idx val="4"/>
          <c:order val="4"/>
          <c:tx>
            <c:strRef>
              <c:f>Report_4!J4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Report_4!$A$5:$A$18</c:f>
              <c:strCache>
                <c:ptCount val="14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</c:strCache>
            </c:strRef>
          </c:cat>
          <c:val>
            <c:numRef>
              <c:f>Report_4!$J$5:$J$18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88257437"/>
        <c:axId val="25441424"/>
      </c:barChart>
      <c:catAx>
        <c:axId val="88257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41424"/>
        <c:crosses val="autoZero"/>
        <c:auto val="1"/>
        <c:lblAlgn val="ctr"/>
        <c:lblOffset val="100"/>
        <c:noMultiLvlLbl val="0"/>
      </c:catAx>
      <c:valAx>
        <c:axId val="254414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57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5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Report_5!F4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Report_5!$A$5:$A$12</c:f>
              <c:strCache>
                <c:ptCount val="8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</c:strCache>
            </c:strRef>
          </c:cat>
          <c:val>
            <c:numRef>
              <c:f>Report_5!$F$5:$F$12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strRef>
              <c:f>Report_5!G4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Report_5!$A$5:$A$12</c:f>
              <c:strCache>
                <c:ptCount val="8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</c:strCache>
            </c:strRef>
          </c:cat>
          <c:val>
            <c:numRef>
              <c:f>Report_5!$G$5:$G$12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2"/>
          <c:order val="2"/>
          <c:tx>
            <c:strRef>
              <c:f>Report_5!H4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Report_5!$A$5:$A$12</c:f>
              <c:strCache>
                <c:ptCount val="8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</c:strCache>
            </c:strRef>
          </c:cat>
          <c:val>
            <c:numRef>
              <c:f>Report_5!$H$5:$H$12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3"/>
          <c:order val="3"/>
          <c:tx>
            <c:strRef>
              <c:f>Report_5!I4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Report_5!$A$5:$A$12</c:f>
              <c:strCache>
                <c:ptCount val="8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</c:strCache>
            </c:strRef>
          </c:cat>
          <c:val>
            <c:numRef>
              <c:f>Report_5!$I$5:$I$12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4"/>
          <c:order val="4"/>
          <c:tx>
            <c:strRef>
              <c:f>Report_5!J4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Report_5!$A$5:$A$12</c:f>
              <c:strCache>
                <c:ptCount val="8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</c:strCache>
            </c:strRef>
          </c:cat>
          <c:val>
            <c:numRef>
              <c:f>Report_5!$J$5:$J$12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gapWidth val="150"/>
        <c:overlap val="0"/>
        <c:axId val="27372320"/>
        <c:axId val="3932735"/>
      </c:barChart>
      <c:catAx>
        <c:axId val="27372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2735"/>
        <c:crosses val="autoZero"/>
        <c:auto val="1"/>
        <c:lblAlgn val="ctr"/>
        <c:lblOffset val="100"/>
        <c:noMultiLvlLbl val="0"/>
      </c:catAx>
      <c:valAx>
        <c:axId val="39327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72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6 — ABox shape counts per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Report_6!F4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Report_6!$A$5:$A$20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Report_6!$F$5:$F$20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1"/>
          <c:order val="1"/>
          <c:tx>
            <c:strRef>
              <c:f>Report_6!G4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Report_6!$A$5:$A$20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Report_6!$G$5:$G$20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2"/>
          <c:order val="2"/>
          <c:tx>
            <c:strRef>
              <c:f>Report_6!H4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Report_6!$A$5:$A$20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Report_6!$H$5:$H$20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3"/>
          <c:order val="3"/>
          <c:tx>
            <c:strRef>
              <c:f>Report_6!I4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Report_6!$A$5:$A$20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Report_6!$I$5:$I$20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4"/>
          <c:order val="4"/>
          <c:tx>
            <c:strRef>
              <c:f>Report_6!J4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Report_6!$A$5:$A$20</c:f>
              <c:strCache>
                <c:ptCount val="16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  <c:pt idx="12">
                  <c:v>F13</c:v>
                </c:pt>
                <c:pt idx="13">
                  <c:v>F14</c:v>
                </c:pt>
                <c:pt idx="14">
                  <c:v>F15</c:v>
                </c:pt>
                <c:pt idx="15">
                  <c:v>F16</c:v>
                </c:pt>
              </c:strCache>
            </c:strRef>
          </c:cat>
          <c:val>
            <c:numRef>
              <c:f>Report_6!$J$5:$J$20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gapWidth val="150"/>
        <c:overlap val="0"/>
        <c:axId val="91795680"/>
        <c:axId val="10604803"/>
      </c:barChart>
      <c:catAx>
        <c:axId val="917956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Shape ID (see column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04803"/>
        <c:crosses val="autoZero"/>
        <c:auto val="1"/>
        <c:lblAlgn val="ctr"/>
        <c:lblOffset val="100"/>
        <c:noMultiLvlLbl val="0"/>
      </c:catAx>
      <c:valAx>
        <c:axId val="106048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95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136080</xdr:colOff>
      <xdr:row>33</xdr:row>
      <xdr:rowOff>161640</xdr:rowOff>
    </xdr:to>
    <xdr:graphicFrame>
      <xdr:nvGraphicFramePr>
        <xdr:cNvPr id="0" name="Chart 1"/>
        <xdr:cNvGraphicFramePr/>
      </xdr:nvGraphicFramePr>
      <xdr:xfrm>
        <a:off x="0" y="3619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160560</xdr:rowOff>
    </xdr:from>
    <xdr:to>
      <xdr:col>15</xdr:col>
      <xdr:colOff>558720</xdr:colOff>
      <xdr:row>33</xdr:row>
      <xdr:rowOff>161640</xdr:rowOff>
    </xdr:to>
    <xdr:graphicFrame>
      <xdr:nvGraphicFramePr>
        <xdr:cNvPr id="1" name="Chart 2"/>
        <xdr:cNvGraphicFramePr/>
      </xdr:nvGraphicFramePr>
      <xdr:xfrm>
        <a:off x="8035200" y="3619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36</xdr:row>
      <xdr:rowOff>160920</xdr:rowOff>
    </xdr:from>
    <xdr:to>
      <xdr:col>15</xdr:col>
      <xdr:colOff>558720</xdr:colOff>
      <xdr:row>51</xdr:row>
      <xdr:rowOff>162000</xdr:rowOff>
    </xdr:to>
    <xdr:graphicFrame>
      <xdr:nvGraphicFramePr>
        <xdr:cNvPr id="2" name="Chart 3"/>
        <xdr:cNvGraphicFramePr/>
      </xdr:nvGraphicFramePr>
      <xdr:xfrm>
        <a:off x="8035200" y="7429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21</xdr:col>
      <xdr:colOff>473040</xdr:colOff>
      <xdr:row>22</xdr:row>
      <xdr:rowOff>100800</xdr:rowOff>
    </xdr:to>
    <xdr:graphicFrame>
      <xdr:nvGraphicFramePr>
        <xdr:cNvPr id="3" name="Chart 1"/>
        <xdr:cNvGraphicFramePr/>
      </xdr:nvGraphicFramePr>
      <xdr:xfrm>
        <a:off x="928116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17</xdr:row>
      <xdr:rowOff>97920</xdr:rowOff>
    </xdr:to>
    <xdr:graphicFrame>
      <xdr:nvGraphicFramePr>
        <xdr:cNvPr id="4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17</xdr:row>
      <xdr:rowOff>97920</xdr:rowOff>
    </xdr:to>
    <xdr:graphicFrame>
      <xdr:nvGraphicFramePr>
        <xdr:cNvPr id="5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13</xdr:row>
      <xdr:rowOff>95760</xdr:rowOff>
    </xdr:to>
    <xdr:graphicFrame>
      <xdr:nvGraphicFramePr>
        <xdr:cNvPr id="6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13</xdr:row>
      <xdr:rowOff>95760</xdr:rowOff>
    </xdr:to>
    <xdr:graphicFrame>
      <xdr:nvGraphicFramePr>
        <xdr:cNvPr id="7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17</xdr:row>
      <xdr:rowOff>97920</xdr:rowOff>
    </xdr:to>
    <xdr:graphicFrame>
      <xdr:nvGraphicFramePr>
        <xdr:cNvPr id="8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13</xdr:row>
      <xdr:rowOff>95760</xdr:rowOff>
    </xdr:to>
    <xdr:graphicFrame>
      <xdr:nvGraphicFramePr>
        <xdr:cNvPr id="9" name="Chart 1"/>
        <xdr:cNvGraphicFramePr/>
      </xdr:nvGraphicFramePr>
      <xdr:xfrm>
        <a:off x="2112264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35.0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23.8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2" t="s">
        <v>16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2" t="s">
        <v>18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false" outlineLevel="0" collapsed="false">
      <c r="A2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0" min="2" style="0" width="12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22</v>
      </c>
    </row>
    <row r="4" customFormat="false" ht="45" hidden="false" customHeight="tru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  <c r="S4" s="7" t="s">
        <v>41</v>
      </c>
      <c r="T4" s="7" t="s">
        <v>42</v>
      </c>
    </row>
    <row r="5" customFormat="false" ht="15" hidden="false" customHeight="false" outlineLevel="0" collapsed="false">
      <c r="A5" s="8" t="s">
        <v>43</v>
      </c>
      <c r="B5" s="9" t="n">
        <v>5</v>
      </c>
      <c r="C5" s="10" t="n">
        <f aca="false">Report_1!P40</f>
        <v>0.938028985242715</v>
      </c>
      <c r="D5" s="10" t="n">
        <f aca="false">Report_1!P41</f>
        <v>0.0482112646908858</v>
      </c>
      <c r="E5" s="10" t="n">
        <f aca="false">Report_1!P42</f>
        <v>0.886075949367089</v>
      </c>
      <c r="F5" s="10" t="n">
        <f aca="false">Report_1!P43</f>
        <v>1</v>
      </c>
      <c r="G5" s="10" t="n">
        <f aca="false">Report_1!P44</f>
        <v>0.886075949367089</v>
      </c>
      <c r="H5" s="10" t="n">
        <f aca="false">Report_1!Q40</f>
        <v>0.914951772365565</v>
      </c>
      <c r="I5" s="10" t="n">
        <f aca="false">Report_1!Q41</f>
        <v>0.0657725926332164</v>
      </c>
      <c r="J5" s="10" t="n">
        <f aca="false">Report_1!Q42</f>
        <v>0.844827586206897</v>
      </c>
      <c r="K5" s="10" t="n">
        <f aca="false">Report_1!Q43</f>
        <v>1</v>
      </c>
      <c r="L5" s="10" t="n">
        <f aca="false">Report_1!Q44</f>
        <v>0.844827586206897</v>
      </c>
      <c r="M5" s="11" t="n">
        <f aca="false">Report_1!P45</f>
        <v>34.6</v>
      </c>
      <c r="N5" s="11" t="n">
        <f aca="false">Report_1!Q45</f>
        <v>13.6</v>
      </c>
      <c r="O5" s="11" t="n">
        <f aca="false">Report_1!P46</f>
        <v>74.2</v>
      </c>
      <c r="P5" s="11" t="n">
        <f aca="false">Report_1!Q46</f>
        <v>53.2</v>
      </c>
      <c r="Q5" s="12" t="n">
        <f aca="false">C5-E5</f>
        <v>0.0519530358756263</v>
      </c>
      <c r="R5" s="12" t="n">
        <f aca="false">F5-C5</f>
        <v>0.0619710147572852</v>
      </c>
      <c r="S5" s="12" t="n">
        <f aca="false">H5-J5</f>
        <v>0.0701241861586688</v>
      </c>
      <c r="T5" s="12" t="n">
        <f aca="false">K5-H5</f>
        <v>0.0850482276344347</v>
      </c>
    </row>
    <row r="6" customFormat="false" ht="15" hidden="false" customHeight="false" outlineLevel="0" collapsed="false">
      <c r="A6" s="8" t="s">
        <v>44</v>
      </c>
      <c r="B6" s="9" t="n">
        <v>5</v>
      </c>
      <c r="C6" s="10" t="n">
        <f aca="false">Report_2!P40</f>
        <v>0.929411764705882</v>
      </c>
      <c r="D6" s="10" t="n">
        <f aca="false">Report_2!P41</f>
        <v>0.0911290199107628</v>
      </c>
      <c r="E6" s="10" t="n">
        <f aca="false">Report_2!P42</f>
        <v>0.823529411764706</v>
      </c>
      <c r="F6" s="10" t="n">
        <f aca="false">Report_2!P43</f>
        <v>1</v>
      </c>
      <c r="G6" s="10" t="n">
        <f aca="false">Report_2!P44</f>
        <v>0.823529411764706</v>
      </c>
      <c r="H6" s="10" t="n">
        <f aca="false">Report_2!Q40</f>
        <v>0.85</v>
      </c>
      <c r="I6" s="10" t="n">
        <f aca="false">Report_2!Q41</f>
        <v>0.193649167310371</v>
      </c>
      <c r="J6" s="10" t="n">
        <f aca="false">Report_2!Q42</f>
        <v>0.625</v>
      </c>
      <c r="K6" s="10" t="n">
        <f aca="false">Report_2!Q43</f>
        <v>1</v>
      </c>
      <c r="L6" s="10" t="n">
        <f aca="false">Report_2!Q44</f>
        <v>0.625</v>
      </c>
      <c r="M6" s="11" t="n">
        <f aca="false">Report_2!P45</f>
        <v>28</v>
      </c>
      <c r="N6" s="11" t="n">
        <f aca="false">Report_2!Q45</f>
        <v>10</v>
      </c>
      <c r="O6" s="11" t="n">
        <f aca="false">Report_2!P46</f>
        <v>32.8</v>
      </c>
      <c r="P6" s="11" t="n">
        <f aca="false">Report_2!Q46</f>
        <v>14.8</v>
      </c>
      <c r="Q6" s="12" t="n">
        <f aca="false">C6-E6</f>
        <v>0.105882352941176</v>
      </c>
      <c r="R6" s="12" t="n">
        <f aca="false">F6-C6</f>
        <v>0.0705882352941177</v>
      </c>
      <c r="S6" s="12" t="n">
        <f aca="false">H6-J6</f>
        <v>0.225</v>
      </c>
      <c r="T6" s="12" t="n">
        <f aca="false">K6-H6</f>
        <v>0.15</v>
      </c>
    </row>
    <row r="7" customFormat="false" ht="15" hidden="false" customHeight="false" outlineLevel="0" collapsed="false">
      <c r="A7" s="8" t="s">
        <v>45</v>
      </c>
      <c r="B7" s="9" t="n">
        <v>5</v>
      </c>
      <c r="C7" s="10" t="n">
        <f aca="false">Report_3!P40</f>
        <v>1</v>
      </c>
      <c r="D7" s="10" t="n">
        <f aca="false">Report_3!P41</f>
        <v>0</v>
      </c>
      <c r="E7" s="10" t="n">
        <f aca="false">Report_3!P42</f>
        <v>1</v>
      </c>
      <c r="F7" s="10" t="n">
        <f aca="false">Report_3!P43</f>
        <v>1</v>
      </c>
      <c r="G7" s="10" t="n">
        <f aca="false">Report_3!P44</f>
        <v>1</v>
      </c>
      <c r="H7" s="10" t="n">
        <f aca="false">Report_3!Q40</f>
        <v>1</v>
      </c>
      <c r="I7" s="10" t="n">
        <f aca="false">Report_3!Q41</f>
        <v>0</v>
      </c>
      <c r="J7" s="10" t="n">
        <f aca="false">Report_3!Q42</f>
        <v>1</v>
      </c>
      <c r="K7" s="10" t="n">
        <f aca="false">Report_3!Q43</f>
        <v>1</v>
      </c>
      <c r="L7" s="10" t="n">
        <f aca="false">Report_3!Q44</f>
        <v>1</v>
      </c>
      <c r="M7" s="11" t="n">
        <f aca="false">Report_3!P45</f>
        <v>46</v>
      </c>
      <c r="N7" s="11" t="n">
        <f aca="false">Report_3!Q45</f>
        <v>19</v>
      </c>
      <c r="O7" s="11" t="n">
        <f aca="false">Report_3!P46</f>
        <v>50</v>
      </c>
      <c r="P7" s="11" t="n">
        <f aca="false">Report_3!Q46</f>
        <v>23</v>
      </c>
      <c r="Q7" s="12" t="n">
        <f aca="false">C7-E7</f>
        <v>0</v>
      </c>
      <c r="R7" s="12" t="n">
        <f aca="false">F7-C7</f>
        <v>0</v>
      </c>
      <c r="S7" s="12" t="n">
        <f aca="false">H7-J7</f>
        <v>0</v>
      </c>
      <c r="T7" s="12" t="n">
        <f aca="false">K7-H7</f>
        <v>0</v>
      </c>
    </row>
    <row r="8" customFormat="false" ht="15" hidden="false" customHeight="false" outlineLevel="0" collapsed="false">
      <c r="A8" s="8" t="s">
        <v>46</v>
      </c>
      <c r="B8" s="9" t="n">
        <v>5</v>
      </c>
      <c r="C8" s="10" t="n">
        <f aca="false">Report_4!P40</f>
        <v>1</v>
      </c>
      <c r="D8" s="10" t="n">
        <f aca="false">Report_4!P41</f>
        <v>0</v>
      </c>
      <c r="E8" s="10" t="n">
        <f aca="false">Report_4!P42</f>
        <v>1</v>
      </c>
      <c r="F8" s="10" t="n">
        <f aca="false">Report_4!P43</f>
        <v>1</v>
      </c>
      <c r="G8" s="10" t="n">
        <f aca="false">Report_4!P44</f>
        <v>1</v>
      </c>
      <c r="H8" s="10" t="n">
        <f aca="false">Report_4!Q40</f>
        <v>1</v>
      </c>
      <c r="I8" s="10" t="n">
        <f aca="false">Report_4!Q41</f>
        <v>0</v>
      </c>
      <c r="J8" s="10" t="n">
        <f aca="false">Report_4!Q42</f>
        <v>1</v>
      </c>
      <c r="K8" s="10" t="n">
        <f aca="false">Report_4!Q43</f>
        <v>1</v>
      </c>
      <c r="L8" s="10" t="n">
        <f aca="false">Report_4!Q44</f>
        <v>1</v>
      </c>
      <c r="M8" s="11" t="n">
        <f aca="false">Report_4!P45</f>
        <v>31</v>
      </c>
      <c r="N8" s="11" t="n">
        <f aca="false">Report_4!Q45</f>
        <v>14</v>
      </c>
      <c r="O8" s="11" t="n">
        <f aca="false">Report_4!P46</f>
        <v>49</v>
      </c>
      <c r="P8" s="11" t="n">
        <f aca="false">Report_4!Q46</f>
        <v>32</v>
      </c>
      <c r="Q8" s="12" t="n">
        <f aca="false">C8-E8</f>
        <v>0</v>
      </c>
      <c r="R8" s="12" t="n">
        <f aca="false">F8-C8</f>
        <v>0</v>
      </c>
      <c r="S8" s="12" t="n">
        <f aca="false">H8-J8</f>
        <v>0</v>
      </c>
      <c r="T8" s="12" t="n">
        <f aca="false">K8-H8</f>
        <v>0</v>
      </c>
    </row>
    <row r="9" customFormat="false" ht="15" hidden="false" customHeight="false" outlineLevel="0" collapsed="false">
      <c r="A9" s="8" t="s">
        <v>47</v>
      </c>
      <c r="B9" s="9" t="n">
        <v>5</v>
      </c>
      <c r="C9" s="10" t="n">
        <f aca="false">Report_5!P40</f>
        <v>1</v>
      </c>
      <c r="D9" s="10" t="n">
        <f aca="false">Report_5!P41</f>
        <v>0</v>
      </c>
      <c r="E9" s="10" t="n">
        <f aca="false">Report_5!P42</f>
        <v>1</v>
      </c>
      <c r="F9" s="10" t="n">
        <f aca="false">Report_5!P43</f>
        <v>1</v>
      </c>
      <c r="G9" s="10" t="n">
        <f aca="false">Report_5!P44</f>
        <v>1</v>
      </c>
      <c r="H9" s="10" t="n">
        <f aca="false">Report_5!Q40</f>
        <v>1</v>
      </c>
      <c r="I9" s="10" t="n">
        <f aca="false">Report_5!Q41</f>
        <v>0</v>
      </c>
      <c r="J9" s="10" t="n">
        <f aca="false">Report_5!Q42</f>
        <v>1</v>
      </c>
      <c r="K9" s="10" t="n">
        <f aca="false">Report_5!Q43</f>
        <v>1</v>
      </c>
      <c r="L9" s="10" t="n">
        <f aca="false">Report_5!Q44</f>
        <v>1</v>
      </c>
      <c r="M9" s="11" t="n">
        <f aca="false">Report_5!P45</f>
        <v>18</v>
      </c>
      <c r="N9" s="11" t="n">
        <f aca="false">Report_5!Q45</f>
        <v>8</v>
      </c>
      <c r="O9" s="11" t="n">
        <f aca="false">Report_5!P46</f>
        <v>22</v>
      </c>
      <c r="P9" s="11" t="n">
        <f aca="false">Report_5!Q46</f>
        <v>12</v>
      </c>
      <c r="Q9" s="12" t="n">
        <f aca="false">C9-E9</f>
        <v>0</v>
      </c>
      <c r="R9" s="12" t="n">
        <f aca="false">F9-C9</f>
        <v>0</v>
      </c>
      <c r="S9" s="12" t="n">
        <f aca="false">H9-J9</f>
        <v>0</v>
      </c>
      <c r="T9" s="12" t="n">
        <f aca="false">K9-H9</f>
        <v>0</v>
      </c>
    </row>
    <row r="10" customFormat="false" ht="15" hidden="false" customHeight="false" outlineLevel="0" collapsed="false">
      <c r="A10" s="8" t="s">
        <v>48</v>
      </c>
      <c r="B10" s="9" t="n">
        <v>5</v>
      </c>
      <c r="C10" s="10" t="n">
        <f aca="false">Report_6!P40</f>
        <v>0.965217391304348</v>
      </c>
      <c r="D10" s="10" t="n">
        <f aca="false">Report_6!P41</f>
        <v>0.0449041547386367</v>
      </c>
      <c r="E10" s="10" t="n">
        <f aca="false">Report_6!P42</f>
        <v>0.91304347826087</v>
      </c>
      <c r="F10" s="10" t="n">
        <f aca="false">Report_6!P43</f>
        <v>1</v>
      </c>
      <c r="G10" s="10" t="n">
        <f aca="false">Report_6!P44</f>
        <v>0.91304347826087</v>
      </c>
      <c r="H10" s="10" t="n">
        <f aca="false">Report_6!Q40</f>
        <v>0.938461538461539</v>
      </c>
      <c r="I10" s="10" t="n">
        <f aca="false">Report_6!Q41</f>
        <v>0.0794458122298958</v>
      </c>
      <c r="J10" s="10" t="n">
        <f aca="false">Report_6!Q42</f>
        <v>0.846153846153846</v>
      </c>
      <c r="K10" s="10" t="n">
        <f aca="false">Report_6!Q43</f>
        <v>1</v>
      </c>
      <c r="L10" s="10" t="n">
        <f aca="false">Report_6!Q44</f>
        <v>0.846153846153846</v>
      </c>
      <c r="M10" s="11" t="n">
        <f aca="false">Report_6!P45</f>
        <v>36</v>
      </c>
      <c r="N10" s="11" t="n">
        <f aca="false">Report_6!Q45</f>
        <v>16</v>
      </c>
      <c r="O10" s="11" t="n">
        <f aca="false">Report_6!P46</f>
        <v>45.2</v>
      </c>
      <c r="P10" s="11" t="n">
        <f aca="false">Report_6!Q46</f>
        <v>25.2</v>
      </c>
      <c r="Q10" s="12" t="n">
        <f aca="false">C10-E10</f>
        <v>0.0521739130434783</v>
      </c>
      <c r="R10" s="12" t="n">
        <f aca="false">F10-C10</f>
        <v>0.0347826086956522</v>
      </c>
      <c r="S10" s="12" t="n">
        <f aca="false">H10-J10</f>
        <v>0.0923076923076923</v>
      </c>
      <c r="T10" s="12" t="n">
        <f aca="false">K10-H10</f>
        <v>0.0615384615384615</v>
      </c>
    </row>
    <row r="11" customFormat="false" ht="15" hidden="false" customHeight="false" outlineLevel="0" collapsed="false">
      <c r="A11" s="13" t="s">
        <v>49</v>
      </c>
      <c r="B11" s="14" t="n">
        <f aca="false">SUM(B5:B10)</f>
        <v>30</v>
      </c>
      <c r="C11" s="15" t="n">
        <f aca="false">AVERAGE(Pairs!F5:F64)</f>
        <v>0.972109690208824</v>
      </c>
      <c r="D11" s="15" t="n">
        <f aca="false">STDEV(Pairs!F5:F64)</f>
        <v>0.0532763914092298</v>
      </c>
      <c r="E11" s="15" t="n">
        <f aca="false">MIN(Pairs!F5:F64)</f>
        <v>0.823529411764706</v>
      </c>
      <c r="F11" s="15" t="n">
        <f aca="false">MAX(Pairs!F5:F64)</f>
        <v>1</v>
      </c>
      <c r="G11" s="15" t="n">
        <f aca="false">AVERAGE(G5:G10)</f>
        <v>0.937108139898777</v>
      </c>
      <c r="H11" s="15" t="n">
        <f aca="false">AVERAGE(Pairs!G5:G64)</f>
        <v>0.950568885137851</v>
      </c>
      <c r="I11" s="15" t="n">
        <f aca="false">STDEV(Pairs!G5:G64)</f>
        <v>0.102662419058939</v>
      </c>
      <c r="J11" s="15" t="n">
        <f aca="false">MIN(Pairs!G5:G64)</f>
        <v>0.625</v>
      </c>
      <c r="K11" s="15" t="n">
        <f aca="false">MAX(Pairs!G5:G64)</f>
        <v>1</v>
      </c>
      <c r="L11" s="15" t="n">
        <f aca="false">AVERAGE(L5:L10)</f>
        <v>0.885996905393457</v>
      </c>
      <c r="M11" s="16" t="n">
        <f aca="false">AVERAGE(M5:M10)</f>
        <v>32.2666666666667</v>
      </c>
      <c r="N11" s="16" t="n">
        <f aca="false">AVERAGE(N5:N10)</f>
        <v>13.4333333333333</v>
      </c>
      <c r="O11" s="16" t="n">
        <f aca="false">AVERAGE(O5:O10)</f>
        <v>45.5333333333333</v>
      </c>
      <c r="P11" s="16" t="n">
        <f aca="false">AVERAGE(P5:P10)</f>
        <v>26.7</v>
      </c>
    </row>
    <row r="12" customFormat="false" ht="15" hidden="false" customHeight="false" outlineLevel="0" collapsed="false">
      <c r="A12" s="6" t="s">
        <v>50</v>
      </c>
    </row>
    <row r="14" customFormat="false" ht="15" hidden="false" customHeight="false" outlineLevel="0" collapsed="false">
      <c r="A14" s="17" t="s">
        <v>51</v>
      </c>
      <c r="C14" s="18" t="n">
        <f aca="false">COUNTIF(Pairs!F5:F64,1)</f>
        <v>45</v>
      </c>
      <c r="D14" s="18" t="s">
        <v>52</v>
      </c>
    </row>
    <row r="15" customFormat="false" ht="15" hidden="false" customHeight="false" outlineLevel="0" collapsed="false">
      <c r="A15" s="17" t="s">
        <v>53</v>
      </c>
      <c r="C15" s="18" t="n">
        <f aca="false">COUNTIF(Pairs!G5:G64,1)</f>
        <v>45</v>
      </c>
      <c r="D15" s="18" t="s">
        <v>52</v>
      </c>
    </row>
    <row r="16" customFormat="false" ht="15" hidden="false" customHeight="false" outlineLevel="0" collapsed="false">
      <c r="A16" s="17" t="s">
        <v>54</v>
      </c>
      <c r="C16" s="18" t="n">
        <f aca="false">COUNTIF(J5:J10,1)</f>
        <v>3</v>
      </c>
    </row>
    <row r="38" customFormat="false" ht="15" hidden="false" customHeight="false" outlineLevel="0" collapsed="false">
      <c r="A38" s="19" t="s">
        <v>55</v>
      </c>
    </row>
    <row r="39" customFormat="false" ht="15" hidden="false" customHeight="false" outlineLevel="0" collapsed="false">
      <c r="A39" s="6" t="s">
        <v>56</v>
      </c>
    </row>
    <row r="40" customFormat="false" ht="45" hidden="false" customHeight="true" outlineLevel="0" collapsed="false">
      <c r="A40" s="7" t="s">
        <v>23</v>
      </c>
      <c r="B40" s="7" t="s">
        <v>57</v>
      </c>
      <c r="C40" s="7" t="s">
        <v>58</v>
      </c>
      <c r="D40" s="7" t="s">
        <v>59</v>
      </c>
      <c r="E40" s="7" t="s">
        <v>60</v>
      </c>
      <c r="F40" s="7" t="s">
        <v>30</v>
      </c>
      <c r="G40" s="7" t="s">
        <v>61</v>
      </c>
    </row>
    <row r="41" customFormat="false" ht="15" hidden="false" customHeight="false" outlineLevel="0" collapsed="false">
      <c r="A41" s="8" t="s">
        <v>43</v>
      </c>
      <c r="B41" s="20" t="n">
        <v>0.89363</v>
      </c>
      <c r="C41" s="20" t="n">
        <v>0.777778</v>
      </c>
      <c r="D41" s="20" t="n">
        <v>1</v>
      </c>
      <c r="E41" s="9" t="n">
        <v>1</v>
      </c>
      <c r="F41" s="21" t="n">
        <f aca="false">H5</f>
        <v>0.914951772365565</v>
      </c>
      <c r="G41" s="21" t="n">
        <f aca="false">F41-B41</f>
        <v>0.0213217723655653</v>
      </c>
    </row>
    <row r="42" customFormat="false" ht="15" hidden="false" customHeight="false" outlineLevel="0" collapsed="false">
      <c r="A42" s="8" t="s">
        <v>44</v>
      </c>
      <c r="B42" s="20" t="n">
        <v>0.593846</v>
      </c>
      <c r="C42" s="20" t="n">
        <v>0.466667</v>
      </c>
      <c r="D42" s="20" t="n">
        <v>1</v>
      </c>
      <c r="E42" s="9" t="n">
        <v>1</v>
      </c>
      <c r="F42" s="21" t="n">
        <f aca="false">H6</f>
        <v>0.85</v>
      </c>
      <c r="G42" s="21" t="n">
        <f aca="false">F42-B42</f>
        <v>0.256154</v>
      </c>
    </row>
    <row r="43" customFormat="false" ht="15" hidden="false" customHeight="false" outlineLevel="0" collapsed="false">
      <c r="A43" s="8" t="s">
        <v>45</v>
      </c>
      <c r="B43" s="20" t="n">
        <v>0.671622</v>
      </c>
      <c r="C43" s="20" t="n">
        <v>0.5625</v>
      </c>
      <c r="D43" s="20" t="n">
        <v>0.851852</v>
      </c>
      <c r="E43" s="9" t="n">
        <v>0</v>
      </c>
      <c r="F43" s="21" t="n">
        <f aca="false">H7</f>
        <v>1</v>
      </c>
      <c r="G43" s="21" t="n">
        <f aca="false">F43-B43</f>
        <v>0.328378</v>
      </c>
    </row>
    <row r="44" customFormat="false" ht="15" hidden="false" customHeight="false" outlineLevel="0" collapsed="false">
      <c r="A44" s="8" t="s">
        <v>46</v>
      </c>
      <c r="B44" s="20" t="n">
        <v>0.487808</v>
      </c>
      <c r="C44" s="20" t="n">
        <v>0.306667</v>
      </c>
      <c r="D44" s="20" t="n">
        <v>0.921569</v>
      </c>
      <c r="E44" s="9" t="n">
        <v>0</v>
      </c>
      <c r="F44" s="21" t="n">
        <f aca="false">H8</f>
        <v>1</v>
      </c>
      <c r="G44" s="21" t="n">
        <f aca="false">F44-B44</f>
        <v>0.512192</v>
      </c>
    </row>
    <row r="45" customFormat="false" ht="15" hidden="false" customHeight="false" outlineLevel="0" collapsed="false">
      <c r="A45" s="8" t="s">
        <v>47</v>
      </c>
      <c r="B45" s="20" t="n">
        <v>0.471448</v>
      </c>
      <c r="C45" s="20" t="n">
        <v>0.448276</v>
      </c>
      <c r="D45" s="20" t="n">
        <v>0.68</v>
      </c>
      <c r="E45" s="9" t="n">
        <v>0</v>
      </c>
      <c r="F45" s="21" t="n">
        <f aca="false">H9</f>
        <v>1</v>
      </c>
      <c r="G45" s="21" t="n">
        <f aca="false">F45-B45</f>
        <v>0.528552</v>
      </c>
    </row>
    <row r="46" customFormat="false" ht="15" hidden="false" customHeight="false" outlineLevel="0" collapsed="false">
      <c r="A46" s="8" t="s">
        <v>48</v>
      </c>
      <c r="B46" s="20" t="n">
        <v>0.514597</v>
      </c>
      <c r="C46" s="20" t="n">
        <v>0.415385</v>
      </c>
      <c r="D46" s="20" t="n">
        <v>0.642857</v>
      </c>
      <c r="E46" s="9" t="n">
        <v>0</v>
      </c>
      <c r="F46" s="21" t="n">
        <f aca="false">H10</f>
        <v>0.938461538461539</v>
      </c>
      <c r="G46" s="21" t="n">
        <f aca="false">F46-B46</f>
        <v>0.423864538461539</v>
      </c>
    </row>
  </sheetData>
  <conditionalFormatting sqref="C5:C11">
    <cfRule type="colorScale" priority="2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E5:H11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J5:L11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5" t="s">
        <v>62</v>
      </c>
    </row>
    <row r="2" customFormat="false" ht="15" hidden="false" customHeight="false" outlineLevel="0" collapsed="false">
      <c r="A2" s="6" t="s">
        <v>63</v>
      </c>
    </row>
    <row r="4" customFormat="false" ht="31.5" hidden="false" customHeight="true" outlineLevel="0" collapsed="false">
      <c r="A4" s="7" t="s">
        <v>23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</row>
    <row r="5" customFormat="false" ht="15" hidden="false" customHeight="false" outlineLevel="0" collapsed="false">
      <c r="A5" s="22" t="s">
        <v>43</v>
      </c>
      <c r="B5" s="9" t="n">
        <v>1</v>
      </c>
      <c r="C5" s="22" t="s">
        <v>72</v>
      </c>
      <c r="D5" s="9" t="n">
        <v>1</v>
      </c>
      <c r="E5" s="9" t="n">
        <v>2</v>
      </c>
      <c r="F5" s="10" t="n">
        <f aca="false">Report_1!P28</f>
        <v>1</v>
      </c>
      <c r="G5" s="10" t="n">
        <f aca="false">Report_1!Q28</f>
        <v>1</v>
      </c>
      <c r="H5" s="23" t="n">
        <f aca="false">B5-0.15</f>
        <v>0.85</v>
      </c>
      <c r="I5" s="23" t="n">
        <f aca="false">B5+0.15</f>
        <v>1.15</v>
      </c>
    </row>
    <row r="6" customFormat="false" ht="15" hidden="false" customHeight="false" outlineLevel="0" collapsed="false">
      <c r="A6" s="22" t="s">
        <v>43</v>
      </c>
      <c r="B6" s="9" t="n">
        <v>1</v>
      </c>
      <c r="C6" s="22" t="s">
        <v>73</v>
      </c>
      <c r="D6" s="9" t="n">
        <v>1</v>
      </c>
      <c r="E6" s="9" t="n">
        <v>3</v>
      </c>
      <c r="F6" s="10" t="n">
        <f aca="false">Report_1!P29</f>
        <v>1</v>
      </c>
      <c r="G6" s="10" t="n">
        <f aca="false">Report_1!Q29</f>
        <v>1</v>
      </c>
      <c r="H6" s="23" t="n">
        <f aca="false">B6-0.15</f>
        <v>0.85</v>
      </c>
      <c r="I6" s="23" t="n">
        <f aca="false">B6+0.15</f>
        <v>1.15</v>
      </c>
    </row>
    <row r="7" customFormat="false" ht="15" hidden="false" customHeight="false" outlineLevel="0" collapsed="false">
      <c r="A7" s="22" t="s">
        <v>43</v>
      </c>
      <c r="B7" s="9" t="n">
        <v>1</v>
      </c>
      <c r="C7" s="22" t="s">
        <v>74</v>
      </c>
      <c r="D7" s="9" t="n">
        <v>1</v>
      </c>
      <c r="E7" s="9" t="n">
        <v>4</v>
      </c>
      <c r="F7" s="10" t="n">
        <f aca="false">Report_1!P30</f>
        <v>0.921052631578947</v>
      </c>
      <c r="G7" s="10" t="n">
        <f aca="false">Report_1!Q30</f>
        <v>0.890909090909091</v>
      </c>
      <c r="H7" s="23" t="n">
        <f aca="false">B7-0.15</f>
        <v>0.85</v>
      </c>
      <c r="I7" s="23" t="n">
        <f aca="false">B7+0.15</f>
        <v>1.15</v>
      </c>
    </row>
    <row r="8" customFormat="false" ht="15" hidden="false" customHeight="false" outlineLevel="0" collapsed="false">
      <c r="A8" s="22" t="s">
        <v>43</v>
      </c>
      <c r="B8" s="9" t="n">
        <v>1</v>
      </c>
      <c r="C8" s="22" t="s">
        <v>75</v>
      </c>
      <c r="D8" s="9" t="n">
        <v>1</v>
      </c>
      <c r="E8" s="9" t="n">
        <v>5</v>
      </c>
      <c r="F8" s="10" t="n">
        <f aca="false">Report_1!P31</f>
        <v>0.886075949367089</v>
      </c>
      <c r="G8" s="10" t="n">
        <f aca="false">Report_1!Q31</f>
        <v>0.844827586206897</v>
      </c>
      <c r="H8" s="23" t="n">
        <f aca="false">B8-0.15</f>
        <v>0.85</v>
      </c>
      <c r="I8" s="23" t="n">
        <f aca="false">B8+0.15</f>
        <v>1.15</v>
      </c>
    </row>
    <row r="9" customFormat="false" ht="15" hidden="false" customHeight="false" outlineLevel="0" collapsed="false">
      <c r="A9" s="22" t="s">
        <v>43</v>
      </c>
      <c r="B9" s="9" t="n">
        <v>1</v>
      </c>
      <c r="C9" s="22" t="s">
        <v>76</v>
      </c>
      <c r="D9" s="9" t="n">
        <v>2</v>
      </c>
      <c r="E9" s="9" t="n">
        <v>3</v>
      </c>
      <c r="F9" s="10" t="n">
        <f aca="false">Report_1!P32</f>
        <v>1</v>
      </c>
      <c r="G9" s="10" t="n">
        <f aca="false">Report_1!Q32</f>
        <v>1</v>
      </c>
      <c r="H9" s="23" t="n">
        <f aca="false">B9-0.15</f>
        <v>0.85</v>
      </c>
      <c r="I9" s="23" t="n">
        <f aca="false">B9+0.15</f>
        <v>1.15</v>
      </c>
    </row>
    <row r="10" customFormat="false" ht="15" hidden="false" customHeight="false" outlineLevel="0" collapsed="false">
      <c r="A10" s="22" t="s">
        <v>43</v>
      </c>
      <c r="B10" s="9" t="n">
        <v>1</v>
      </c>
      <c r="C10" s="22" t="s">
        <v>77</v>
      </c>
      <c r="D10" s="9" t="n">
        <v>2</v>
      </c>
      <c r="E10" s="9" t="n">
        <v>4</v>
      </c>
      <c r="F10" s="10" t="n">
        <f aca="false">Report_1!P33</f>
        <v>0.921052631578947</v>
      </c>
      <c r="G10" s="10" t="n">
        <f aca="false">Report_1!Q33</f>
        <v>0.890909090909091</v>
      </c>
      <c r="H10" s="23" t="n">
        <f aca="false">B10-0.15</f>
        <v>0.85</v>
      </c>
      <c r="I10" s="23" t="n">
        <f aca="false">B10+0.15</f>
        <v>1.15</v>
      </c>
    </row>
    <row r="11" customFormat="false" ht="15" hidden="false" customHeight="false" outlineLevel="0" collapsed="false">
      <c r="A11" s="22" t="s">
        <v>43</v>
      </c>
      <c r="B11" s="9" t="n">
        <v>1</v>
      </c>
      <c r="C11" s="22" t="s">
        <v>78</v>
      </c>
      <c r="D11" s="9" t="n">
        <v>2</v>
      </c>
      <c r="E11" s="9" t="n">
        <v>5</v>
      </c>
      <c r="F11" s="10" t="n">
        <f aca="false">Report_1!P34</f>
        <v>0.886075949367089</v>
      </c>
      <c r="G11" s="10" t="n">
        <f aca="false">Report_1!Q34</f>
        <v>0.844827586206897</v>
      </c>
      <c r="H11" s="23" t="n">
        <f aca="false">B11-0.15</f>
        <v>0.85</v>
      </c>
      <c r="I11" s="23" t="n">
        <f aca="false">B11+0.15</f>
        <v>1.15</v>
      </c>
    </row>
    <row r="12" customFormat="false" ht="15" hidden="false" customHeight="false" outlineLevel="0" collapsed="false">
      <c r="A12" s="22" t="s">
        <v>43</v>
      </c>
      <c r="B12" s="9" t="n">
        <v>1</v>
      </c>
      <c r="C12" s="22" t="s">
        <v>79</v>
      </c>
      <c r="D12" s="9" t="n">
        <v>3</v>
      </c>
      <c r="E12" s="9" t="n">
        <v>4</v>
      </c>
      <c r="F12" s="10" t="n">
        <f aca="false">Report_1!P35</f>
        <v>0.921052631578947</v>
      </c>
      <c r="G12" s="10" t="n">
        <f aca="false">Report_1!Q35</f>
        <v>0.890909090909091</v>
      </c>
      <c r="H12" s="23" t="n">
        <f aca="false">B12-0.15</f>
        <v>0.85</v>
      </c>
      <c r="I12" s="23" t="n">
        <f aca="false">B12+0.15</f>
        <v>1.15</v>
      </c>
    </row>
    <row r="13" customFormat="false" ht="15" hidden="false" customHeight="false" outlineLevel="0" collapsed="false">
      <c r="A13" s="22" t="s">
        <v>43</v>
      </c>
      <c r="B13" s="9" t="n">
        <v>1</v>
      </c>
      <c r="C13" s="22" t="s">
        <v>80</v>
      </c>
      <c r="D13" s="9" t="n">
        <v>3</v>
      </c>
      <c r="E13" s="9" t="n">
        <v>5</v>
      </c>
      <c r="F13" s="10" t="n">
        <f aca="false">Report_1!P36</f>
        <v>0.886075949367089</v>
      </c>
      <c r="G13" s="10" t="n">
        <f aca="false">Report_1!Q36</f>
        <v>0.844827586206897</v>
      </c>
      <c r="H13" s="23" t="n">
        <f aca="false">B13-0.15</f>
        <v>0.85</v>
      </c>
      <c r="I13" s="23" t="n">
        <f aca="false">B13+0.15</f>
        <v>1.15</v>
      </c>
    </row>
    <row r="14" customFormat="false" ht="15" hidden="false" customHeight="false" outlineLevel="0" collapsed="false">
      <c r="A14" s="22" t="s">
        <v>43</v>
      </c>
      <c r="B14" s="9" t="n">
        <v>1</v>
      </c>
      <c r="C14" s="22" t="s">
        <v>81</v>
      </c>
      <c r="D14" s="9" t="n">
        <v>4</v>
      </c>
      <c r="E14" s="9" t="n">
        <v>5</v>
      </c>
      <c r="F14" s="10" t="n">
        <f aca="false">Report_1!P37</f>
        <v>0.958904109589041</v>
      </c>
      <c r="G14" s="10" t="n">
        <f aca="false">Report_1!Q37</f>
        <v>0.942307692307692</v>
      </c>
      <c r="H14" s="23" t="n">
        <f aca="false">B14-0.15</f>
        <v>0.85</v>
      </c>
      <c r="I14" s="23" t="n">
        <f aca="false">B14+0.15</f>
        <v>1.15</v>
      </c>
    </row>
    <row r="15" customFormat="false" ht="15" hidden="false" customHeight="false" outlineLevel="0" collapsed="false">
      <c r="A15" s="22" t="s">
        <v>44</v>
      </c>
      <c r="B15" s="9" t="n">
        <v>2</v>
      </c>
      <c r="C15" s="22" t="s">
        <v>72</v>
      </c>
      <c r="D15" s="9" t="n">
        <v>1</v>
      </c>
      <c r="E15" s="9" t="n">
        <v>2</v>
      </c>
      <c r="F15" s="10" t="n">
        <f aca="false">Report_2!P28</f>
        <v>1</v>
      </c>
      <c r="G15" s="10" t="n">
        <f aca="false">Report_2!Q28</f>
        <v>1</v>
      </c>
      <c r="H15" s="23" t="n">
        <f aca="false">B15-0.15</f>
        <v>1.85</v>
      </c>
      <c r="I15" s="23" t="n">
        <f aca="false">B15+0.15</f>
        <v>2.15</v>
      </c>
    </row>
    <row r="16" customFormat="false" ht="15" hidden="false" customHeight="false" outlineLevel="0" collapsed="false">
      <c r="A16" s="22" t="s">
        <v>44</v>
      </c>
      <c r="B16" s="9" t="n">
        <v>2</v>
      </c>
      <c r="C16" s="22" t="s">
        <v>73</v>
      </c>
      <c r="D16" s="9" t="n">
        <v>1</v>
      </c>
      <c r="E16" s="9" t="n">
        <v>3</v>
      </c>
      <c r="F16" s="10" t="n">
        <f aca="false">Report_2!P29</f>
        <v>1</v>
      </c>
      <c r="G16" s="10" t="n">
        <f aca="false">Report_2!Q29</f>
        <v>1</v>
      </c>
      <c r="H16" s="23" t="n">
        <f aca="false">B16-0.15</f>
        <v>1.85</v>
      </c>
      <c r="I16" s="23" t="n">
        <f aca="false">B16+0.15</f>
        <v>2.15</v>
      </c>
    </row>
    <row r="17" customFormat="false" ht="15" hidden="false" customHeight="false" outlineLevel="0" collapsed="false">
      <c r="A17" s="22" t="s">
        <v>44</v>
      </c>
      <c r="B17" s="9" t="n">
        <v>2</v>
      </c>
      <c r="C17" s="22" t="s">
        <v>74</v>
      </c>
      <c r="D17" s="9" t="n">
        <v>1</v>
      </c>
      <c r="E17" s="9" t="n">
        <v>4</v>
      </c>
      <c r="F17" s="10" t="n">
        <f aca="false">Report_2!P30</f>
        <v>0.823529411764706</v>
      </c>
      <c r="G17" s="10" t="n">
        <f aca="false">Report_2!Q30</f>
        <v>0.625</v>
      </c>
      <c r="H17" s="23" t="n">
        <f aca="false">B17-0.15</f>
        <v>1.85</v>
      </c>
      <c r="I17" s="23" t="n">
        <f aca="false">B17+0.15</f>
        <v>2.15</v>
      </c>
    </row>
    <row r="18" customFormat="false" ht="15" hidden="false" customHeight="false" outlineLevel="0" collapsed="false">
      <c r="A18" s="22" t="s">
        <v>44</v>
      </c>
      <c r="B18" s="9" t="n">
        <v>2</v>
      </c>
      <c r="C18" s="22" t="s">
        <v>75</v>
      </c>
      <c r="D18" s="9" t="n">
        <v>1</v>
      </c>
      <c r="E18" s="9" t="n">
        <v>5</v>
      </c>
      <c r="F18" s="10" t="n">
        <f aca="false">Report_2!P31</f>
        <v>1</v>
      </c>
      <c r="G18" s="10" t="n">
        <f aca="false">Report_2!Q31</f>
        <v>1</v>
      </c>
      <c r="H18" s="23" t="n">
        <f aca="false">B18-0.15</f>
        <v>1.85</v>
      </c>
      <c r="I18" s="23" t="n">
        <f aca="false">B18+0.15</f>
        <v>2.15</v>
      </c>
    </row>
    <row r="19" customFormat="false" ht="15" hidden="false" customHeight="false" outlineLevel="0" collapsed="false">
      <c r="A19" s="22" t="s">
        <v>44</v>
      </c>
      <c r="B19" s="9" t="n">
        <v>2</v>
      </c>
      <c r="C19" s="22" t="s">
        <v>76</v>
      </c>
      <c r="D19" s="9" t="n">
        <v>2</v>
      </c>
      <c r="E19" s="9" t="n">
        <v>3</v>
      </c>
      <c r="F19" s="10" t="n">
        <f aca="false">Report_2!P32</f>
        <v>1</v>
      </c>
      <c r="G19" s="10" t="n">
        <f aca="false">Report_2!Q32</f>
        <v>1</v>
      </c>
      <c r="H19" s="23" t="n">
        <f aca="false">B19-0.15</f>
        <v>1.85</v>
      </c>
      <c r="I19" s="23" t="n">
        <f aca="false">B19+0.15</f>
        <v>2.15</v>
      </c>
    </row>
    <row r="20" customFormat="false" ht="15" hidden="false" customHeight="false" outlineLevel="0" collapsed="false">
      <c r="A20" s="22" t="s">
        <v>44</v>
      </c>
      <c r="B20" s="9" t="n">
        <v>2</v>
      </c>
      <c r="C20" s="22" t="s">
        <v>77</v>
      </c>
      <c r="D20" s="9" t="n">
        <v>2</v>
      </c>
      <c r="E20" s="9" t="n">
        <v>4</v>
      </c>
      <c r="F20" s="10" t="n">
        <f aca="false">Report_2!P33</f>
        <v>0.823529411764706</v>
      </c>
      <c r="G20" s="10" t="n">
        <f aca="false">Report_2!Q33</f>
        <v>0.625</v>
      </c>
      <c r="H20" s="23" t="n">
        <f aca="false">B20-0.15</f>
        <v>1.85</v>
      </c>
      <c r="I20" s="23" t="n">
        <f aca="false">B20+0.15</f>
        <v>2.15</v>
      </c>
    </row>
    <row r="21" customFormat="false" ht="15" hidden="false" customHeight="false" outlineLevel="0" collapsed="false">
      <c r="A21" s="22" t="s">
        <v>44</v>
      </c>
      <c r="B21" s="9" t="n">
        <v>2</v>
      </c>
      <c r="C21" s="22" t="s">
        <v>78</v>
      </c>
      <c r="D21" s="9" t="n">
        <v>2</v>
      </c>
      <c r="E21" s="9" t="n">
        <v>5</v>
      </c>
      <c r="F21" s="10" t="n">
        <f aca="false">Report_2!P34</f>
        <v>1</v>
      </c>
      <c r="G21" s="10" t="n">
        <f aca="false">Report_2!Q34</f>
        <v>1</v>
      </c>
      <c r="H21" s="23" t="n">
        <f aca="false">B21-0.15</f>
        <v>1.85</v>
      </c>
      <c r="I21" s="23" t="n">
        <f aca="false">B21+0.15</f>
        <v>2.15</v>
      </c>
    </row>
    <row r="22" customFormat="false" ht="15" hidden="false" customHeight="false" outlineLevel="0" collapsed="false">
      <c r="A22" s="22" t="s">
        <v>44</v>
      </c>
      <c r="B22" s="9" t="n">
        <v>2</v>
      </c>
      <c r="C22" s="22" t="s">
        <v>79</v>
      </c>
      <c r="D22" s="9" t="n">
        <v>3</v>
      </c>
      <c r="E22" s="9" t="n">
        <v>4</v>
      </c>
      <c r="F22" s="10" t="n">
        <f aca="false">Report_2!P35</f>
        <v>0.823529411764706</v>
      </c>
      <c r="G22" s="10" t="n">
        <f aca="false">Report_2!Q35</f>
        <v>0.625</v>
      </c>
      <c r="H22" s="23" t="n">
        <f aca="false">B22-0.15</f>
        <v>1.85</v>
      </c>
      <c r="I22" s="23" t="n">
        <f aca="false">B22+0.15</f>
        <v>2.15</v>
      </c>
    </row>
    <row r="23" customFormat="false" ht="15" hidden="false" customHeight="false" outlineLevel="0" collapsed="false">
      <c r="A23" s="22" t="s">
        <v>44</v>
      </c>
      <c r="B23" s="9" t="n">
        <v>2</v>
      </c>
      <c r="C23" s="22" t="s">
        <v>80</v>
      </c>
      <c r="D23" s="9" t="n">
        <v>3</v>
      </c>
      <c r="E23" s="9" t="n">
        <v>5</v>
      </c>
      <c r="F23" s="10" t="n">
        <f aca="false">Report_2!P36</f>
        <v>1</v>
      </c>
      <c r="G23" s="10" t="n">
        <f aca="false">Report_2!Q36</f>
        <v>1</v>
      </c>
      <c r="H23" s="23" t="n">
        <f aca="false">B23-0.15</f>
        <v>1.85</v>
      </c>
      <c r="I23" s="23" t="n">
        <f aca="false">B23+0.15</f>
        <v>2.15</v>
      </c>
    </row>
    <row r="24" customFormat="false" ht="15" hidden="false" customHeight="false" outlineLevel="0" collapsed="false">
      <c r="A24" s="22" t="s">
        <v>44</v>
      </c>
      <c r="B24" s="9" t="n">
        <v>2</v>
      </c>
      <c r="C24" s="22" t="s">
        <v>81</v>
      </c>
      <c r="D24" s="9" t="n">
        <v>4</v>
      </c>
      <c r="E24" s="9" t="n">
        <v>5</v>
      </c>
      <c r="F24" s="10" t="n">
        <f aca="false">Report_2!P37</f>
        <v>0.823529411764706</v>
      </c>
      <c r="G24" s="10" t="n">
        <f aca="false">Report_2!Q37</f>
        <v>0.625</v>
      </c>
      <c r="H24" s="23" t="n">
        <f aca="false">B24-0.15</f>
        <v>1.85</v>
      </c>
      <c r="I24" s="23" t="n">
        <f aca="false">B24+0.15</f>
        <v>2.15</v>
      </c>
    </row>
    <row r="25" customFormat="false" ht="15" hidden="false" customHeight="false" outlineLevel="0" collapsed="false">
      <c r="A25" s="22" t="s">
        <v>45</v>
      </c>
      <c r="B25" s="9" t="n">
        <v>3</v>
      </c>
      <c r="C25" s="22" t="s">
        <v>72</v>
      </c>
      <c r="D25" s="9" t="n">
        <v>1</v>
      </c>
      <c r="E25" s="9" t="n">
        <v>2</v>
      </c>
      <c r="F25" s="10" t="n">
        <f aca="false">Report_3!P28</f>
        <v>1</v>
      </c>
      <c r="G25" s="10" t="n">
        <f aca="false">Report_3!Q28</f>
        <v>1</v>
      </c>
      <c r="H25" s="23" t="n">
        <f aca="false">B25-0.15</f>
        <v>2.85</v>
      </c>
      <c r="I25" s="23" t="n">
        <f aca="false">B25+0.15</f>
        <v>3.15</v>
      </c>
    </row>
    <row r="26" customFormat="false" ht="15" hidden="false" customHeight="false" outlineLevel="0" collapsed="false">
      <c r="A26" s="22" t="s">
        <v>45</v>
      </c>
      <c r="B26" s="9" t="n">
        <v>3</v>
      </c>
      <c r="C26" s="22" t="s">
        <v>73</v>
      </c>
      <c r="D26" s="9" t="n">
        <v>1</v>
      </c>
      <c r="E26" s="9" t="n">
        <v>3</v>
      </c>
      <c r="F26" s="10" t="n">
        <f aca="false">Report_3!P29</f>
        <v>1</v>
      </c>
      <c r="G26" s="10" t="n">
        <f aca="false">Report_3!Q29</f>
        <v>1</v>
      </c>
      <c r="H26" s="23" t="n">
        <f aca="false">B26-0.15</f>
        <v>2.85</v>
      </c>
      <c r="I26" s="23" t="n">
        <f aca="false">B26+0.15</f>
        <v>3.15</v>
      </c>
    </row>
    <row r="27" customFormat="false" ht="15" hidden="false" customHeight="false" outlineLevel="0" collapsed="false">
      <c r="A27" s="22" t="s">
        <v>45</v>
      </c>
      <c r="B27" s="9" t="n">
        <v>3</v>
      </c>
      <c r="C27" s="22" t="s">
        <v>74</v>
      </c>
      <c r="D27" s="9" t="n">
        <v>1</v>
      </c>
      <c r="E27" s="9" t="n">
        <v>4</v>
      </c>
      <c r="F27" s="10" t="n">
        <f aca="false">Report_3!P30</f>
        <v>1</v>
      </c>
      <c r="G27" s="10" t="n">
        <f aca="false">Report_3!Q30</f>
        <v>1</v>
      </c>
      <c r="H27" s="23" t="n">
        <f aca="false">B27-0.15</f>
        <v>2.85</v>
      </c>
      <c r="I27" s="23" t="n">
        <f aca="false">B27+0.15</f>
        <v>3.15</v>
      </c>
    </row>
    <row r="28" customFormat="false" ht="15" hidden="false" customHeight="false" outlineLevel="0" collapsed="false">
      <c r="A28" s="22" t="s">
        <v>45</v>
      </c>
      <c r="B28" s="9" t="n">
        <v>3</v>
      </c>
      <c r="C28" s="22" t="s">
        <v>75</v>
      </c>
      <c r="D28" s="9" t="n">
        <v>1</v>
      </c>
      <c r="E28" s="9" t="n">
        <v>5</v>
      </c>
      <c r="F28" s="10" t="n">
        <f aca="false">Report_3!P31</f>
        <v>1</v>
      </c>
      <c r="G28" s="10" t="n">
        <f aca="false">Report_3!Q31</f>
        <v>1</v>
      </c>
      <c r="H28" s="23" t="n">
        <f aca="false">B28-0.15</f>
        <v>2.85</v>
      </c>
      <c r="I28" s="23" t="n">
        <f aca="false">B28+0.15</f>
        <v>3.15</v>
      </c>
    </row>
    <row r="29" customFormat="false" ht="15" hidden="false" customHeight="false" outlineLevel="0" collapsed="false">
      <c r="A29" s="22" t="s">
        <v>45</v>
      </c>
      <c r="B29" s="9" t="n">
        <v>3</v>
      </c>
      <c r="C29" s="22" t="s">
        <v>76</v>
      </c>
      <c r="D29" s="9" t="n">
        <v>2</v>
      </c>
      <c r="E29" s="9" t="n">
        <v>3</v>
      </c>
      <c r="F29" s="10" t="n">
        <f aca="false">Report_3!P32</f>
        <v>1</v>
      </c>
      <c r="G29" s="10" t="n">
        <f aca="false">Report_3!Q32</f>
        <v>1</v>
      </c>
      <c r="H29" s="23" t="n">
        <f aca="false">B29-0.15</f>
        <v>2.85</v>
      </c>
      <c r="I29" s="23" t="n">
        <f aca="false">B29+0.15</f>
        <v>3.15</v>
      </c>
    </row>
    <row r="30" customFormat="false" ht="15" hidden="false" customHeight="false" outlineLevel="0" collapsed="false">
      <c r="A30" s="22" t="s">
        <v>45</v>
      </c>
      <c r="B30" s="9" t="n">
        <v>3</v>
      </c>
      <c r="C30" s="22" t="s">
        <v>77</v>
      </c>
      <c r="D30" s="9" t="n">
        <v>2</v>
      </c>
      <c r="E30" s="9" t="n">
        <v>4</v>
      </c>
      <c r="F30" s="10" t="n">
        <f aca="false">Report_3!P33</f>
        <v>1</v>
      </c>
      <c r="G30" s="10" t="n">
        <f aca="false">Report_3!Q33</f>
        <v>1</v>
      </c>
      <c r="H30" s="23" t="n">
        <f aca="false">B30-0.15</f>
        <v>2.85</v>
      </c>
      <c r="I30" s="23" t="n">
        <f aca="false">B30+0.15</f>
        <v>3.15</v>
      </c>
    </row>
    <row r="31" customFormat="false" ht="15" hidden="false" customHeight="false" outlineLevel="0" collapsed="false">
      <c r="A31" s="22" t="s">
        <v>45</v>
      </c>
      <c r="B31" s="9" t="n">
        <v>3</v>
      </c>
      <c r="C31" s="22" t="s">
        <v>78</v>
      </c>
      <c r="D31" s="9" t="n">
        <v>2</v>
      </c>
      <c r="E31" s="9" t="n">
        <v>5</v>
      </c>
      <c r="F31" s="10" t="n">
        <f aca="false">Report_3!P34</f>
        <v>1</v>
      </c>
      <c r="G31" s="10" t="n">
        <f aca="false">Report_3!Q34</f>
        <v>1</v>
      </c>
      <c r="H31" s="23" t="n">
        <f aca="false">B31-0.15</f>
        <v>2.85</v>
      </c>
      <c r="I31" s="23" t="n">
        <f aca="false">B31+0.15</f>
        <v>3.15</v>
      </c>
    </row>
    <row r="32" customFormat="false" ht="15" hidden="false" customHeight="false" outlineLevel="0" collapsed="false">
      <c r="A32" s="22" t="s">
        <v>45</v>
      </c>
      <c r="B32" s="9" t="n">
        <v>3</v>
      </c>
      <c r="C32" s="22" t="s">
        <v>79</v>
      </c>
      <c r="D32" s="9" t="n">
        <v>3</v>
      </c>
      <c r="E32" s="9" t="n">
        <v>4</v>
      </c>
      <c r="F32" s="10" t="n">
        <f aca="false">Report_3!P35</f>
        <v>1</v>
      </c>
      <c r="G32" s="10" t="n">
        <f aca="false">Report_3!Q35</f>
        <v>1</v>
      </c>
      <c r="H32" s="23" t="n">
        <f aca="false">B32-0.15</f>
        <v>2.85</v>
      </c>
      <c r="I32" s="23" t="n">
        <f aca="false">B32+0.15</f>
        <v>3.15</v>
      </c>
    </row>
    <row r="33" customFormat="false" ht="15" hidden="false" customHeight="false" outlineLevel="0" collapsed="false">
      <c r="A33" s="22" t="s">
        <v>45</v>
      </c>
      <c r="B33" s="9" t="n">
        <v>3</v>
      </c>
      <c r="C33" s="22" t="s">
        <v>80</v>
      </c>
      <c r="D33" s="9" t="n">
        <v>3</v>
      </c>
      <c r="E33" s="9" t="n">
        <v>5</v>
      </c>
      <c r="F33" s="10" t="n">
        <f aca="false">Report_3!P36</f>
        <v>1</v>
      </c>
      <c r="G33" s="10" t="n">
        <f aca="false">Report_3!Q36</f>
        <v>1</v>
      </c>
      <c r="H33" s="23" t="n">
        <f aca="false">B33-0.15</f>
        <v>2.85</v>
      </c>
      <c r="I33" s="23" t="n">
        <f aca="false">B33+0.15</f>
        <v>3.15</v>
      </c>
    </row>
    <row r="34" customFormat="false" ht="15" hidden="false" customHeight="false" outlineLevel="0" collapsed="false">
      <c r="A34" s="22" t="s">
        <v>45</v>
      </c>
      <c r="B34" s="9" t="n">
        <v>3</v>
      </c>
      <c r="C34" s="22" t="s">
        <v>81</v>
      </c>
      <c r="D34" s="9" t="n">
        <v>4</v>
      </c>
      <c r="E34" s="9" t="n">
        <v>5</v>
      </c>
      <c r="F34" s="10" t="n">
        <f aca="false">Report_3!P37</f>
        <v>1</v>
      </c>
      <c r="G34" s="10" t="n">
        <f aca="false">Report_3!Q37</f>
        <v>1</v>
      </c>
      <c r="H34" s="23" t="n">
        <f aca="false">B34-0.15</f>
        <v>2.85</v>
      </c>
      <c r="I34" s="23" t="n">
        <f aca="false">B34+0.15</f>
        <v>3.15</v>
      </c>
    </row>
    <row r="35" customFormat="false" ht="15" hidden="false" customHeight="false" outlineLevel="0" collapsed="false">
      <c r="A35" s="22" t="s">
        <v>46</v>
      </c>
      <c r="B35" s="9" t="n">
        <v>4</v>
      </c>
      <c r="C35" s="22" t="s">
        <v>72</v>
      </c>
      <c r="D35" s="9" t="n">
        <v>1</v>
      </c>
      <c r="E35" s="9" t="n">
        <v>2</v>
      </c>
      <c r="F35" s="10" t="n">
        <f aca="false">Report_4!P28</f>
        <v>1</v>
      </c>
      <c r="G35" s="10" t="n">
        <f aca="false">Report_4!Q28</f>
        <v>1</v>
      </c>
      <c r="H35" s="23" t="n">
        <f aca="false">B35-0.15</f>
        <v>3.85</v>
      </c>
      <c r="I35" s="23" t="n">
        <f aca="false">B35+0.15</f>
        <v>4.15</v>
      </c>
    </row>
    <row r="36" customFormat="false" ht="15" hidden="false" customHeight="false" outlineLevel="0" collapsed="false">
      <c r="A36" s="22" t="s">
        <v>46</v>
      </c>
      <c r="B36" s="9" t="n">
        <v>4</v>
      </c>
      <c r="C36" s="22" t="s">
        <v>73</v>
      </c>
      <c r="D36" s="9" t="n">
        <v>1</v>
      </c>
      <c r="E36" s="9" t="n">
        <v>3</v>
      </c>
      <c r="F36" s="10" t="n">
        <f aca="false">Report_4!P29</f>
        <v>1</v>
      </c>
      <c r="G36" s="10" t="n">
        <f aca="false">Report_4!Q29</f>
        <v>1</v>
      </c>
      <c r="H36" s="23" t="n">
        <f aca="false">B36-0.15</f>
        <v>3.85</v>
      </c>
      <c r="I36" s="23" t="n">
        <f aca="false">B36+0.15</f>
        <v>4.15</v>
      </c>
    </row>
    <row r="37" customFormat="false" ht="15" hidden="false" customHeight="false" outlineLevel="0" collapsed="false">
      <c r="A37" s="22" t="s">
        <v>46</v>
      </c>
      <c r="B37" s="9" t="n">
        <v>4</v>
      </c>
      <c r="C37" s="22" t="s">
        <v>74</v>
      </c>
      <c r="D37" s="9" t="n">
        <v>1</v>
      </c>
      <c r="E37" s="9" t="n">
        <v>4</v>
      </c>
      <c r="F37" s="10" t="n">
        <f aca="false">Report_4!P30</f>
        <v>1</v>
      </c>
      <c r="G37" s="10" t="n">
        <f aca="false">Report_4!Q30</f>
        <v>1</v>
      </c>
      <c r="H37" s="23" t="n">
        <f aca="false">B37-0.15</f>
        <v>3.85</v>
      </c>
      <c r="I37" s="23" t="n">
        <f aca="false">B37+0.15</f>
        <v>4.15</v>
      </c>
    </row>
    <row r="38" customFormat="false" ht="15" hidden="false" customHeight="false" outlineLevel="0" collapsed="false">
      <c r="A38" s="22" t="s">
        <v>46</v>
      </c>
      <c r="B38" s="9" t="n">
        <v>4</v>
      </c>
      <c r="C38" s="22" t="s">
        <v>75</v>
      </c>
      <c r="D38" s="9" t="n">
        <v>1</v>
      </c>
      <c r="E38" s="9" t="n">
        <v>5</v>
      </c>
      <c r="F38" s="10" t="n">
        <f aca="false">Report_4!P31</f>
        <v>1</v>
      </c>
      <c r="G38" s="10" t="n">
        <f aca="false">Report_4!Q31</f>
        <v>1</v>
      </c>
      <c r="H38" s="23" t="n">
        <f aca="false">B38-0.15</f>
        <v>3.85</v>
      </c>
      <c r="I38" s="23" t="n">
        <f aca="false">B38+0.15</f>
        <v>4.15</v>
      </c>
    </row>
    <row r="39" customFormat="false" ht="15" hidden="false" customHeight="false" outlineLevel="0" collapsed="false">
      <c r="A39" s="22" t="s">
        <v>46</v>
      </c>
      <c r="B39" s="9" t="n">
        <v>4</v>
      </c>
      <c r="C39" s="22" t="s">
        <v>76</v>
      </c>
      <c r="D39" s="9" t="n">
        <v>2</v>
      </c>
      <c r="E39" s="9" t="n">
        <v>3</v>
      </c>
      <c r="F39" s="10" t="n">
        <f aca="false">Report_4!P32</f>
        <v>1</v>
      </c>
      <c r="G39" s="10" t="n">
        <f aca="false">Report_4!Q32</f>
        <v>1</v>
      </c>
      <c r="H39" s="23" t="n">
        <f aca="false">B39-0.15</f>
        <v>3.85</v>
      </c>
      <c r="I39" s="23" t="n">
        <f aca="false">B39+0.15</f>
        <v>4.15</v>
      </c>
    </row>
    <row r="40" customFormat="false" ht="15" hidden="false" customHeight="false" outlineLevel="0" collapsed="false">
      <c r="A40" s="22" t="s">
        <v>46</v>
      </c>
      <c r="B40" s="9" t="n">
        <v>4</v>
      </c>
      <c r="C40" s="22" t="s">
        <v>77</v>
      </c>
      <c r="D40" s="9" t="n">
        <v>2</v>
      </c>
      <c r="E40" s="9" t="n">
        <v>4</v>
      </c>
      <c r="F40" s="10" t="n">
        <f aca="false">Report_4!P33</f>
        <v>1</v>
      </c>
      <c r="G40" s="10" t="n">
        <f aca="false">Report_4!Q33</f>
        <v>1</v>
      </c>
      <c r="H40" s="23" t="n">
        <f aca="false">B40-0.15</f>
        <v>3.85</v>
      </c>
      <c r="I40" s="23" t="n">
        <f aca="false">B40+0.15</f>
        <v>4.15</v>
      </c>
    </row>
    <row r="41" customFormat="false" ht="15" hidden="false" customHeight="false" outlineLevel="0" collapsed="false">
      <c r="A41" s="22" t="s">
        <v>46</v>
      </c>
      <c r="B41" s="9" t="n">
        <v>4</v>
      </c>
      <c r="C41" s="22" t="s">
        <v>78</v>
      </c>
      <c r="D41" s="9" t="n">
        <v>2</v>
      </c>
      <c r="E41" s="9" t="n">
        <v>5</v>
      </c>
      <c r="F41" s="10" t="n">
        <f aca="false">Report_4!P34</f>
        <v>1</v>
      </c>
      <c r="G41" s="10" t="n">
        <f aca="false">Report_4!Q34</f>
        <v>1</v>
      </c>
      <c r="H41" s="23" t="n">
        <f aca="false">B41-0.15</f>
        <v>3.85</v>
      </c>
      <c r="I41" s="23" t="n">
        <f aca="false">B41+0.15</f>
        <v>4.15</v>
      </c>
    </row>
    <row r="42" customFormat="false" ht="15" hidden="false" customHeight="false" outlineLevel="0" collapsed="false">
      <c r="A42" s="22" t="s">
        <v>46</v>
      </c>
      <c r="B42" s="9" t="n">
        <v>4</v>
      </c>
      <c r="C42" s="22" t="s">
        <v>79</v>
      </c>
      <c r="D42" s="9" t="n">
        <v>3</v>
      </c>
      <c r="E42" s="9" t="n">
        <v>4</v>
      </c>
      <c r="F42" s="10" t="n">
        <f aca="false">Report_4!P35</f>
        <v>1</v>
      </c>
      <c r="G42" s="10" t="n">
        <f aca="false">Report_4!Q35</f>
        <v>1</v>
      </c>
      <c r="H42" s="23" t="n">
        <f aca="false">B42-0.15</f>
        <v>3.85</v>
      </c>
      <c r="I42" s="23" t="n">
        <f aca="false">B42+0.15</f>
        <v>4.15</v>
      </c>
    </row>
    <row r="43" customFormat="false" ht="15" hidden="false" customHeight="false" outlineLevel="0" collapsed="false">
      <c r="A43" s="22" t="s">
        <v>46</v>
      </c>
      <c r="B43" s="9" t="n">
        <v>4</v>
      </c>
      <c r="C43" s="22" t="s">
        <v>80</v>
      </c>
      <c r="D43" s="9" t="n">
        <v>3</v>
      </c>
      <c r="E43" s="9" t="n">
        <v>5</v>
      </c>
      <c r="F43" s="10" t="n">
        <f aca="false">Report_4!P36</f>
        <v>1</v>
      </c>
      <c r="G43" s="10" t="n">
        <f aca="false">Report_4!Q36</f>
        <v>1</v>
      </c>
      <c r="H43" s="23" t="n">
        <f aca="false">B43-0.15</f>
        <v>3.85</v>
      </c>
      <c r="I43" s="23" t="n">
        <f aca="false">B43+0.15</f>
        <v>4.15</v>
      </c>
    </row>
    <row r="44" customFormat="false" ht="15" hidden="false" customHeight="false" outlineLevel="0" collapsed="false">
      <c r="A44" s="22" t="s">
        <v>46</v>
      </c>
      <c r="B44" s="9" t="n">
        <v>4</v>
      </c>
      <c r="C44" s="22" t="s">
        <v>81</v>
      </c>
      <c r="D44" s="9" t="n">
        <v>4</v>
      </c>
      <c r="E44" s="9" t="n">
        <v>5</v>
      </c>
      <c r="F44" s="10" t="n">
        <f aca="false">Report_4!P37</f>
        <v>1</v>
      </c>
      <c r="G44" s="10" t="n">
        <f aca="false">Report_4!Q37</f>
        <v>1</v>
      </c>
      <c r="H44" s="23" t="n">
        <f aca="false">B44-0.15</f>
        <v>3.85</v>
      </c>
      <c r="I44" s="23" t="n">
        <f aca="false">B44+0.15</f>
        <v>4.15</v>
      </c>
    </row>
    <row r="45" customFormat="false" ht="15" hidden="false" customHeight="false" outlineLevel="0" collapsed="false">
      <c r="A45" s="22" t="s">
        <v>47</v>
      </c>
      <c r="B45" s="9" t="n">
        <v>5</v>
      </c>
      <c r="C45" s="22" t="s">
        <v>72</v>
      </c>
      <c r="D45" s="9" t="n">
        <v>1</v>
      </c>
      <c r="E45" s="9" t="n">
        <v>2</v>
      </c>
      <c r="F45" s="10" t="n">
        <f aca="false">Report_5!P28</f>
        <v>1</v>
      </c>
      <c r="G45" s="10" t="n">
        <f aca="false">Report_5!Q28</f>
        <v>1</v>
      </c>
      <c r="H45" s="23" t="n">
        <f aca="false">B45-0.15</f>
        <v>4.85</v>
      </c>
      <c r="I45" s="23" t="n">
        <f aca="false">B45+0.15</f>
        <v>5.15</v>
      </c>
    </row>
    <row r="46" customFormat="false" ht="15" hidden="false" customHeight="false" outlineLevel="0" collapsed="false">
      <c r="A46" s="22" t="s">
        <v>47</v>
      </c>
      <c r="B46" s="9" t="n">
        <v>5</v>
      </c>
      <c r="C46" s="22" t="s">
        <v>73</v>
      </c>
      <c r="D46" s="9" t="n">
        <v>1</v>
      </c>
      <c r="E46" s="9" t="n">
        <v>3</v>
      </c>
      <c r="F46" s="10" t="n">
        <f aca="false">Report_5!P29</f>
        <v>1</v>
      </c>
      <c r="G46" s="10" t="n">
        <f aca="false">Report_5!Q29</f>
        <v>1</v>
      </c>
      <c r="H46" s="23" t="n">
        <f aca="false">B46-0.15</f>
        <v>4.85</v>
      </c>
      <c r="I46" s="23" t="n">
        <f aca="false">B46+0.15</f>
        <v>5.15</v>
      </c>
    </row>
    <row r="47" customFormat="false" ht="15" hidden="false" customHeight="false" outlineLevel="0" collapsed="false">
      <c r="A47" s="22" t="s">
        <v>47</v>
      </c>
      <c r="B47" s="9" t="n">
        <v>5</v>
      </c>
      <c r="C47" s="22" t="s">
        <v>74</v>
      </c>
      <c r="D47" s="9" t="n">
        <v>1</v>
      </c>
      <c r="E47" s="9" t="n">
        <v>4</v>
      </c>
      <c r="F47" s="10" t="n">
        <f aca="false">Report_5!P30</f>
        <v>1</v>
      </c>
      <c r="G47" s="10" t="n">
        <f aca="false">Report_5!Q30</f>
        <v>1</v>
      </c>
      <c r="H47" s="23" t="n">
        <f aca="false">B47-0.15</f>
        <v>4.85</v>
      </c>
      <c r="I47" s="23" t="n">
        <f aca="false">B47+0.15</f>
        <v>5.15</v>
      </c>
    </row>
    <row r="48" customFormat="false" ht="15" hidden="false" customHeight="false" outlineLevel="0" collapsed="false">
      <c r="A48" s="22" t="s">
        <v>47</v>
      </c>
      <c r="B48" s="9" t="n">
        <v>5</v>
      </c>
      <c r="C48" s="22" t="s">
        <v>75</v>
      </c>
      <c r="D48" s="9" t="n">
        <v>1</v>
      </c>
      <c r="E48" s="9" t="n">
        <v>5</v>
      </c>
      <c r="F48" s="10" t="n">
        <f aca="false">Report_5!P31</f>
        <v>1</v>
      </c>
      <c r="G48" s="10" t="n">
        <f aca="false">Report_5!Q31</f>
        <v>1</v>
      </c>
      <c r="H48" s="23" t="n">
        <f aca="false">B48-0.15</f>
        <v>4.85</v>
      </c>
      <c r="I48" s="23" t="n">
        <f aca="false">B48+0.15</f>
        <v>5.15</v>
      </c>
    </row>
    <row r="49" customFormat="false" ht="15" hidden="false" customHeight="false" outlineLevel="0" collapsed="false">
      <c r="A49" s="22" t="s">
        <v>47</v>
      </c>
      <c r="B49" s="9" t="n">
        <v>5</v>
      </c>
      <c r="C49" s="22" t="s">
        <v>76</v>
      </c>
      <c r="D49" s="9" t="n">
        <v>2</v>
      </c>
      <c r="E49" s="9" t="n">
        <v>3</v>
      </c>
      <c r="F49" s="10" t="n">
        <f aca="false">Report_5!P32</f>
        <v>1</v>
      </c>
      <c r="G49" s="10" t="n">
        <f aca="false">Report_5!Q32</f>
        <v>1</v>
      </c>
      <c r="H49" s="23" t="n">
        <f aca="false">B49-0.15</f>
        <v>4.85</v>
      </c>
      <c r="I49" s="23" t="n">
        <f aca="false">B49+0.15</f>
        <v>5.15</v>
      </c>
    </row>
    <row r="50" customFormat="false" ht="15" hidden="false" customHeight="false" outlineLevel="0" collapsed="false">
      <c r="A50" s="22" t="s">
        <v>47</v>
      </c>
      <c r="B50" s="9" t="n">
        <v>5</v>
      </c>
      <c r="C50" s="22" t="s">
        <v>77</v>
      </c>
      <c r="D50" s="9" t="n">
        <v>2</v>
      </c>
      <c r="E50" s="9" t="n">
        <v>4</v>
      </c>
      <c r="F50" s="10" t="n">
        <f aca="false">Report_5!P33</f>
        <v>1</v>
      </c>
      <c r="G50" s="10" t="n">
        <f aca="false">Report_5!Q33</f>
        <v>1</v>
      </c>
      <c r="H50" s="23" t="n">
        <f aca="false">B50-0.15</f>
        <v>4.85</v>
      </c>
      <c r="I50" s="23" t="n">
        <f aca="false">B50+0.15</f>
        <v>5.15</v>
      </c>
    </row>
    <row r="51" customFormat="false" ht="15" hidden="false" customHeight="false" outlineLevel="0" collapsed="false">
      <c r="A51" s="22" t="s">
        <v>47</v>
      </c>
      <c r="B51" s="9" t="n">
        <v>5</v>
      </c>
      <c r="C51" s="22" t="s">
        <v>78</v>
      </c>
      <c r="D51" s="9" t="n">
        <v>2</v>
      </c>
      <c r="E51" s="9" t="n">
        <v>5</v>
      </c>
      <c r="F51" s="10" t="n">
        <f aca="false">Report_5!P34</f>
        <v>1</v>
      </c>
      <c r="G51" s="10" t="n">
        <f aca="false">Report_5!Q34</f>
        <v>1</v>
      </c>
      <c r="H51" s="23" t="n">
        <f aca="false">B51-0.15</f>
        <v>4.85</v>
      </c>
      <c r="I51" s="23" t="n">
        <f aca="false">B51+0.15</f>
        <v>5.15</v>
      </c>
    </row>
    <row r="52" customFormat="false" ht="15" hidden="false" customHeight="false" outlineLevel="0" collapsed="false">
      <c r="A52" s="22" t="s">
        <v>47</v>
      </c>
      <c r="B52" s="9" t="n">
        <v>5</v>
      </c>
      <c r="C52" s="22" t="s">
        <v>79</v>
      </c>
      <c r="D52" s="9" t="n">
        <v>3</v>
      </c>
      <c r="E52" s="9" t="n">
        <v>4</v>
      </c>
      <c r="F52" s="10" t="n">
        <f aca="false">Report_5!P35</f>
        <v>1</v>
      </c>
      <c r="G52" s="10" t="n">
        <f aca="false">Report_5!Q35</f>
        <v>1</v>
      </c>
      <c r="H52" s="23" t="n">
        <f aca="false">B52-0.15</f>
        <v>4.85</v>
      </c>
      <c r="I52" s="23" t="n">
        <f aca="false">B52+0.15</f>
        <v>5.15</v>
      </c>
    </row>
    <row r="53" customFormat="false" ht="15" hidden="false" customHeight="false" outlineLevel="0" collapsed="false">
      <c r="A53" s="22" t="s">
        <v>47</v>
      </c>
      <c r="B53" s="9" t="n">
        <v>5</v>
      </c>
      <c r="C53" s="22" t="s">
        <v>80</v>
      </c>
      <c r="D53" s="9" t="n">
        <v>3</v>
      </c>
      <c r="E53" s="9" t="n">
        <v>5</v>
      </c>
      <c r="F53" s="10" t="n">
        <f aca="false">Report_5!P36</f>
        <v>1</v>
      </c>
      <c r="G53" s="10" t="n">
        <f aca="false">Report_5!Q36</f>
        <v>1</v>
      </c>
      <c r="H53" s="23" t="n">
        <f aca="false">B53-0.15</f>
        <v>4.85</v>
      </c>
      <c r="I53" s="23" t="n">
        <f aca="false">B53+0.15</f>
        <v>5.15</v>
      </c>
    </row>
    <row r="54" customFormat="false" ht="15" hidden="false" customHeight="false" outlineLevel="0" collapsed="false">
      <c r="A54" s="22" t="s">
        <v>47</v>
      </c>
      <c r="B54" s="9" t="n">
        <v>5</v>
      </c>
      <c r="C54" s="22" t="s">
        <v>81</v>
      </c>
      <c r="D54" s="9" t="n">
        <v>4</v>
      </c>
      <c r="E54" s="9" t="n">
        <v>5</v>
      </c>
      <c r="F54" s="10" t="n">
        <f aca="false">Report_5!P37</f>
        <v>1</v>
      </c>
      <c r="G54" s="10" t="n">
        <f aca="false">Report_5!Q37</f>
        <v>1</v>
      </c>
      <c r="H54" s="23" t="n">
        <f aca="false">B54-0.15</f>
        <v>4.85</v>
      </c>
      <c r="I54" s="23" t="n">
        <f aca="false">B54+0.15</f>
        <v>5.15</v>
      </c>
    </row>
    <row r="55" customFormat="false" ht="15" hidden="false" customHeight="false" outlineLevel="0" collapsed="false">
      <c r="A55" s="22" t="s">
        <v>48</v>
      </c>
      <c r="B55" s="9" t="n">
        <v>6</v>
      </c>
      <c r="C55" s="22" t="s">
        <v>72</v>
      </c>
      <c r="D55" s="9" t="n">
        <v>1</v>
      </c>
      <c r="E55" s="9" t="n">
        <v>2</v>
      </c>
      <c r="F55" s="10" t="n">
        <f aca="false">Report_6!P28</f>
        <v>1</v>
      </c>
      <c r="G55" s="10" t="n">
        <f aca="false">Report_6!Q28</f>
        <v>1</v>
      </c>
      <c r="H55" s="23" t="n">
        <f aca="false">B55-0.15</f>
        <v>5.85</v>
      </c>
      <c r="I55" s="23" t="n">
        <f aca="false">B55+0.15</f>
        <v>6.15</v>
      </c>
    </row>
    <row r="56" customFormat="false" ht="15" hidden="false" customHeight="false" outlineLevel="0" collapsed="false">
      <c r="A56" s="22" t="s">
        <v>48</v>
      </c>
      <c r="B56" s="9" t="n">
        <v>6</v>
      </c>
      <c r="C56" s="22" t="s">
        <v>73</v>
      </c>
      <c r="D56" s="9" t="n">
        <v>1</v>
      </c>
      <c r="E56" s="9" t="n">
        <v>3</v>
      </c>
      <c r="F56" s="10" t="n">
        <f aca="false">Report_6!P29</f>
        <v>1</v>
      </c>
      <c r="G56" s="10" t="n">
        <f aca="false">Report_6!Q29</f>
        <v>1</v>
      </c>
      <c r="H56" s="23" t="n">
        <f aca="false">B56-0.15</f>
        <v>5.85</v>
      </c>
      <c r="I56" s="23" t="n">
        <f aca="false">B56+0.15</f>
        <v>6.15</v>
      </c>
    </row>
    <row r="57" customFormat="false" ht="15" hidden="false" customHeight="false" outlineLevel="0" collapsed="false">
      <c r="A57" s="22" t="s">
        <v>48</v>
      </c>
      <c r="B57" s="9" t="n">
        <v>6</v>
      </c>
      <c r="C57" s="22" t="s">
        <v>74</v>
      </c>
      <c r="D57" s="9" t="n">
        <v>1</v>
      </c>
      <c r="E57" s="9" t="n">
        <v>4</v>
      </c>
      <c r="F57" s="10" t="n">
        <f aca="false">Report_6!P30</f>
        <v>1</v>
      </c>
      <c r="G57" s="10" t="n">
        <f aca="false">Report_6!Q30</f>
        <v>1</v>
      </c>
      <c r="H57" s="23" t="n">
        <f aca="false">B57-0.15</f>
        <v>5.85</v>
      </c>
      <c r="I57" s="23" t="n">
        <f aca="false">B57+0.15</f>
        <v>6.15</v>
      </c>
    </row>
    <row r="58" customFormat="false" ht="15" hidden="false" customHeight="false" outlineLevel="0" collapsed="false">
      <c r="A58" s="22" t="s">
        <v>48</v>
      </c>
      <c r="B58" s="9" t="n">
        <v>6</v>
      </c>
      <c r="C58" s="22" t="s">
        <v>75</v>
      </c>
      <c r="D58" s="9" t="n">
        <v>1</v>
      </c>
      <c r="E58" s="9" t="n">
        <v>5</v>
      </c>
      <c r="F58" s="10" t="n">
        <f aca="false">Report_6!P31</f>
        <v>0.91304347826087</v>
      </c>
      <c r="G58" s="10" t="n">
        <f aca="false">Report_6!Q31</f>
        <v>0.846153846153846</v>
      </c>
      <c r="H58" s="23" t="n">
        <f aca="false">B58-0.15</f>
        <v>5.85</v>
      </c>
      <c r="I58" s="23" t="n">
        <f aca="false">B58+0.15</f>
        <v>6.15</v>
      </c>
    </row>
    <row r="59" customFormat="false" ht="15" hidden="false" customHeight="false" outlineLevel="0" collapsed="false">
      <c r="A59" s="22" t="s">
        <v>48</v>
      </c>
      <c r="B59" s="9" t="n">
        <v>6</v>
      </c>
      <c r="C59" s="22" t="s">
        <v>76</v>
      </c>
      <c r="D59" s="9" t="n">
        <v>2</v>
      </c>
      <c r="E59" s="9" t="n">
        <v>3</v>
      </c>
      <c r="F59" s="10" t="n">
        <f aca="false">Report_6!P32</f>
        <v>1</v>
      </c>
      <c r="G59" s="10" t="n">
        <f aca="false">Report_6!Q32</f>
        <v>1</v>
      </c>
      <c r="H59" s="23" t="n">
        <f aca="false">B59-0.15</f>
        <v>5.85</v>
      </c>
      <c r="I59" s="23" t="n">
        <f aca="false">B59+0.15</f>
        <v>6.15</v>
      </c>
    </row>
    <row r="60" customFormat="false" ht="15" hidden="false" customHeight="false" outlineLevel="0" collapsed="false">
      <c r="A60" s="22" t="s">
        <v>48</v>
      </c>
      <c r="B60" s="9" t="n">
        <v>6</v>
      </c>
      <c r="C60" s="22" t="s">
        <v>77</v>
      </c>
      <c r="D60" s="9" t="n">
        <v>2</v>
      </c>
      <c r="E60" s="9" t="n">
        <v>4</v>
      </c>
      <c r="F60" s="10" t="n">
        <f aca="false">Report_6!P33</f>
        <v>1</v>
      </c>
      <c r="G60" s="10" t="n">
        <f aca="false">Report_6!Q33</f>
        <v>1</v>
      </c>
      <c r="H60" s="23" t="n">
        <f aca="false">B60-0.15</f>
        <v>5.85</v>
      </c>
      <c r="I60" s="23" t="n">
        <f aca="false">B60+0.15</f>
        <v>6.15</v>
      </c>
    </row>
    <row r="61" customFormat="false" ht="15" hidden="false" customHeight="false" outlineLevel="0" collapsed="false">
      <c r="A61" s="22" t="s">
        <v>48</v>
      </c>
      <c r="B61" s="9" t="n">
        <v>6</v>
      </c>
      <c r="C61" s="22" t="s">
        <v>78</v>
      </c>
      <c r="D61" s="9" t="n">
        <v>2</v>
      </c>
      <c r="E61" s="9" t="n">
        <v>5</v>
      </c>
      <c r="F61" s="10" t="n">
        <f aca="false">Report_6!P34</f>
        <v>0.91304347826087</v>
      </c>
      <c r="G61" s="10" t="n">
        <f aca="false">Report_6!Q34</f>
        <v>0.846153846153846</v>
      </c>
      <c r="H61" s="23" t="n">
        <f aca="false">B61-0.15</f>
        <v>5.85</v>
      </c>
      <c r="I61" s="23" t="n">
        <f aca="false">B61+0.15</f>
        <v>6.15</v>
      </c>
    </row>
    <row r="62" customFormat="false" ht="15" hidden="false" customHeight="false" outlineLevel="0" collapsed="false">
      <c r="A62" s="22" t="s">
        <v>48</v>
      </c>
      <c r="B62" s="9" t="n">
        <v>6</v>
      </c>
      <c r="C62" s="22" t="s">
        <v>79</v>
      </c>
      <c r="D62" s="9" t="n">
        <v>3</v>
      </c>
      <c r="E62" s="9" t="n">
        <v>4</v>
      </c>
      <c r="F62" s="10" t="n">
        <f aca="false">Report_6!P35</f>
        <v>1</v>
      </c>
      <c r="G62" s="10" t="n">
        <f aca="false">Report_6!Q35</f>
        <v>1</v>
      </c>
      <c r="H62" s="23" t="n">
        <f aca="false">B62-0.15</f>
        <v>5.85</v>
      </c>
      <c r="I62" s="23" t="n">
        <f aca="false">B62+0.15</f>
        <v>6.15</v>
      </c>
    </row>
    <row r="63" customFormat="false" ht="15" hidden="false" customHeight="false" outlineLevel="0" collapsed="false">
      <c r="A63" s="22" t="s">
        <v>48</v>
      </c>
      <c r="B63" s="9" t="n">
        <v>6</v>
      </c>
      <c r="C63" s="22" t="s">
        <v>80</v>
      </c>
      <c r="D63" s="9" t="n">
        <v>3</v>
      </c>
      <c r="E63" s="9" t="n">
        <v>5</v>
      </c>
      <c r="F63" s="10" t="n">
        <f aca="false">Report_6!P36</f>
        <v>0.91304347826087</v>
      </c>
      <c r="G63" s="10" t="n">
        <f aca="false">Report_6!Q36</f>
        <v>0.846153846153846</v>
      </c>
      <c r="H63" s="23" t="n">
        <f aca="false">B63-0.15</f>
        <v>5.85</v>
      </c>
      <c r="I63" s="23" t="n">
        <f aca="false">B63+0.15</f>
        <v>6.15</v>
      </c>
    </row>
    <row r="64" customFormat="false" ht="15" hidden="false" customHeight="false" outlineLevel="0" collapsed="false">
      <c r="A64" s="22" t="s">
        <v>48</v>
      </c>
      <c r="B64" s="9" t="n">
        <v>6</v>
      </c>
      <c r="C64" s="22" t="s">
        <v>81</v>
      </c>
      <c r="D64" s="9" t="n">
        <v>4</v>
      </c>
      <c r="E64" s="9" t="n">
        <v>5</v>
      </c>
      <c r="F64" s="10" t="n">
        <f aca="false">Report_6!P37</f>
        <v>0.91304347826087</v>
      </c>
      <c r="G64" s="10" t="n">
        <f aca="false">Report_6!Q37</f>
        <v>0.846153846153846</v>
      </c>
      <c r="H64" s="23" t="n">
        <f aca="false">B64-0.15</f>
        <v>5.85</v>
      </c>
      <c r="I64" s="23" t="n">
        <f aca="false">B64+0.15</f>
        <v>6.15</v>
      </c>
    </row>
  </sheetData>
  <conditionalFormatting sqref="F5:G64">
    <cfRule type="colorScale" priority="2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82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15" hidden="false" customHeight="false" outlineLevel="0" collapsed="false">
      <c r="A5" s="24" t="s">
        <v>99</v>
      </c>
      <c r="B5" s="25" t="s">
        <v>100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103</v>
      </c>
    </row>
    <row r="6" customFormat="false" ht="15" hidden="false" customHeight="false" outlineLevel="0" collapsed="false">
      <c r="A6" s="24" t="s">
        <v>104</v>
      </c>
      <c r="B6" s="25" t="s">
        <v>105</v>
      </c>
      <c r="C6" s="24" t="s">
        <v>101</v>
      </c>
      <c r="D6" s="25" t="s">
        <v>106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107</v>
      </c>
    </row>
    <row r="7" customFormat="false" ht="35.05" hidden="false" customHeight="false" outlineLevel="0" collapsed="false">
      <c r="A7" s="24" t="s">
        <v>108</v>
      </c>
      <c r="B7" s="25" t="s">
        <v>109</v>
      </c>
      <c r="C7" s="24" t="s">
        <v>101</v>
      </c>
      <c r="D7" s="25" t="s">
        <v>110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111</v>
      </c>
    </row>
    <row r="8" customFormat="false" ht="15" hidden="false" customHeight="false" outlineLevel="0" collapsed="false">
      <c r="A8" s="24" t="s">
        <v>112</v>
      </c>
      <c r="B8" s="25" t="s">
        <v>109</v>
      </c>
      <c r="C8" s="24" t="s">
        <v>101</v>
      </c>
      <c r="D8" s="25" t="s">
        <v>113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4" t="n">
        <f aca="false">MIN(F8:J8)</f>
        <v>1</v>
      </c>
      <c r="L8" s="24" t="n">
        <f aca="false">MAX(F8:J8)</f>
        <v>1</v>
      </c>
      <c r="M8" s="24" t="n">
        <f aca="false">L8-K8</f>
        <v>0</v>
      </c>
      <c r="O8" s="8" t="s">
        <v>92</v>
      </c>
      <c r="P8" s="22" t="s">
        <v>114</v>
      </c>
    </row>
    <row r="9" customFormat="false" ht="15" hidden="false" customHeight="false" outlineLevel="0" collapsed="false">
      <c r="A9" s="24" t="s">
        <v>115</v>
      </c>
      <c r="B9" s="25" t="s">
        <v>116</v>
      </c>
      <c r="C9" s="24" t="s">
        <v>101</v>
      </c>
      <c r="D9" s="25" t="s">
        <v>117</v>
      </c>
      <c r="E9" s="26" t="n">
        <v>1</v>
      </c>
      <c r="F9" s="26" t="n">
        <v>8</v>
      </c>
      <c r="G9" s="26" t="n">
        <v>8</v>
      </c>
      <c r="H9" s="26" t="n">
        <v>8</v>
      </c>
      <c r="I9" s="26" t="n">
        <v>7</v>
      </c>
      <c r="J9" s="26" t="n">
        <v>7</v>
      </c>
      <c r="K9" s="24" t="n">
        <f aca="false">MIN(F9:J9)</f>
        <v>7</v>
      </c>
      <c r="L9" s="24" t="n">
        <f aca="false">MAX(F9:J9)</f>
        <v>8</v>
      </c>
      <c r="M9" s="24" t="n">
        <f aca="false">L9-K9</f>
        <v>1</v>
      </c>
      <c r="O9" s="8" t="s">
        <v>93</v>
      </c>
      <c r="P9" s="22" t="s">
        <v>118</v>
      </c>
    </row>
    <row r="10" customFormat="false" ht="15" hidden="false" customHeight="false" outlineLevel="0" collapsed="false">
      <c r="A10" s="24" t="s">
        <v>119</v>
      </c>
      <c r="B10" s="25" t="s">
        <v>120</v>
      </c>
      <c r="C10" s="24" t="s">
        <v>101</v>
      </c>
      <c r="D10" s="25" t="s">
        <v>121</v>
      </c>
      <c r="E10" s="26" t="n">
        <v>1</v>
      </c>
      <c r="F10" s="26" t="n">
        <v>1</v>
      </c>
      <c r="G10" s="26" t="n">
        <v>1</v>
      </c>
      <c r="H10" s="26" t="n">
        <v>1</v>
      </c>
      <c r="I10" s="26" t="n">
        <v>1</v>
      </c>
      <c r="J10" s="26" t="n">
        <v>1</v>
      </c>
      <c r="K10" s="24" t="n">
        <f aca="false">MIN(F10:J10)</f>
        <v>1</v>
      </c>
      <c r="L10" s="24" t="n">
        <f aca="false">MAX(F10:J10)</f>
        <v>1</v>
      </c>
      <c r="M10" s="24" t="n">
        <f aca="false">L10-K10</f>
        <v>0</v>
      </c>
    </row>
    <row r="11" customFormat="false" ht="15" hidden="false" customHeight="false" outlineLevel="0" collapsed="false">
      <c r="A11" s="24" t="s">
        <v>122</v>
      </c>
      <c r="B11" s="25" t="s">
        <v>123</v>
      </c>
      <c r="C11" s="24" t="s">
        <v>124</v>
      </c>
      <c r="D11" s="25" t="s">
        <v>120</v>
      </c>
      <c r="E11" s="26" t="n">
        <v>1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1</v>
      </c>
      <c r="K11" s="24" t="n">
        <f aca="false">MIN(F11:J11)</f>
        <v>0</v>
      </c>
      <c r="L11" s="24" t="n">
        <f aca="false">MAX(F11:J11)</f>
        <v>1</v>
      </c>
      <c r="M11" s="24" t="n">
        <f aca="false">L11-K11</f>
        <v>1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123</v>
      </c>
      <c r="C12" s="24" t="s">
        <v>127</v>
      </c>
      <c r="D12" s="25" t="s">
        <v>100</v>
      </c>
      <c r="E12" s="26" t="n">
        <v>1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1</v>
      </c>
      <c r="K12" s="24" t="n">
        <f aca="false">MIN(F12:J12)</f>
        <v>0</v>
      </c>
      <c r="L12" s="24" t="n">
        <f aca="false">MAX(F12:J12)</f>
        <v>1</v>
      </c>
      <c r="M12" s="24" t="n">
        <f aca="false">L12-K12</f>
        <v>1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123</v>
      </c>
      <c r="C13" s="24" t="s">
        <v>129</v>
      </c>
      <c r="D13" s="25" t="s">
        <v>120</v>
      </c>
      <c r="E13" s="26" t="n">
        <v>1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1</v>
      </c>
      <c r="K13" s="24" t="n">
        <f aca="false">MIN(F13:J13)</f>
        <v>0</v>
      </c>
      <c r="L13" s="24" t="n">
        <f aca="false">MAX(F13:J13)</f>
        <v>1</v>
      </c>
      <c r="M13" s="24" t="n">
        <f aca="false">L13-K13</f>
        <v>1</v>
      </c>
      <c r="O13" s="27" t="s">
        <v>89</v>
      </c>
      <c r="P13" s="28" t="n">
        <f aca="false">SUMPRODUCT((($F$5:$F$41&lt;$F$5:$F$41)*$F$5:$F$41+($F$5:$F$41&gt;=$F$5:$F$41)*$F$5:$F$41))/SUMPRODUCT((($F$5:$F$41&gt;$F$5:$F$41)*$F$5:$F$41+($F$5:$F$41&lt;=$F$5:$F$41)*$F$5:$F$41))</f>
        <v>1</v>
      </c>
      <c r="Q13" s="28" t="n">
        <f aca="false">SUMPRODUCT((($F$5:$F$41&lt;$G$5:$G$41)*$F$5:$F$41+($F$5:$F$41&gt;=$G$5:$G$41)*$G$5:$G$41))/SUMPRODUCT((($F$5:$F$41&gt;$G$5:$G$41)*$F$5:$F$41+($F$5:$F$41&lt;=$G$5:$G$41)*$G$5:$G$41))</f>
        <v>1</v>
      </c>
      <c r="R13" s="28" t="n">
        <f aca="false">SUMPRODUCT((($F$5:$F$41&lt;$H$5:$H$41)*$F$5:$F$41+($F$5:$F$41&gt;=$H$5:$H$41)*$H$5:$H$41))/SUMPRODUCT((($F$5:$F$41&gt;$H$5:$H$41)*$F$5:$F$41+($F$5:$F$41&lt;=$H$5:$H$41)*$H$5:$H$41))</f>
        <v>1</v>
      </c>
      <c r="S13" s="28" t="n">
        <f aca="false">SUMPRODUCT((($F$5:$F$41&lt;$I$5:$I$41)*$F$5:$F$41+($F$5:$F$41&gt;=$I$5:$I$41)*$I$5:$I$41))/SUMPRODUCT((($F$5:$F$41&gt;$I$5:$I$41)*$F$5:$F$41+($F$5:$F$41&lt;=$I$5:$I$41)*$I$5:$I$41))</f>
        <v>0.921052631578947</v>
      </c>
      <c r="T13" s="28" t="n">
        <f aca="false">SUMPRODUCT((($F$5:$F$41&lt;$J$5:$J$41)*$F$5:$F$41+($F$5:$F$41&gt;=$J$5:$J$41)*$J$5:$J$41))/SUMPRODUCT((($F$5:$F$41&gt;$J$5:$J$41)*$F$5:$F$41+($F$5:$F$41&lt;=$J$5:$J$41)*$J$5:$J$41))</f>
        <v>0.886075949367089</v>
      </c>
    </row>
    <row r="14" customFormat="false" ht="15" hidden="false" customHeight="false" outlineLevel="0" collapsed="false">
      <c r="A14" s="24" t="s">
        <v>130</v>
      </c>
      <c r="B14" s="25" t="s">
        <v>100</v>
      </c>
      <c r="C14" s="24" t="s">
        <v>131</v>
      </c>
      <c r="D14" s="25" t="s">
        <v>105</v>
      </c>
      <c r="E14" s="26" t="n">
        <v>1</v>
      </c>
      <c r="F14" s="26" t="n">
        <v>1</v>
      </c>
      <c r="G14" s="26" t="n">
        <v>1</v>
      </c>
      <c r="H14" s="26" t="n">
        <v>1</v>
      </c>
      <c r="I14" s="26" t="n">
        <v>1</v>
      </c>
      <c r="J14" s="26" t="n">
        <v>1</v>
      </c>
      <c r="K14" s="24" t="n">
        <f aca="false">MIN(F14:J14)</f>
        <v>1</v>
      </c>
      <c r="L14" s="24" t="n">
        <f aca="false">MAX(F14:J14)</f>
        <v>1</v>
      </c>
      <c r="M14" s="24" t="n">
        <f aca="false">L14-K14</f>
        <v>0</v>
      </c>
      <c r="O14" s="27" t="s">
        <v>90</v>
      </c>
      <c r="P14" s="28" t="n">
        <f aca="false">SUMPRODUCT((($G$5:$G$41&lt;$F$5:$F$41)*$G$5:$G$41+($G$5:$G$41&gt;=$F$5:$F$41)*$F$5:$F$41))/SUMPRODUCT((($G$5:$G$41&gt;$F$5:$F$41)*$G$5:$G$41+($G$5:$G$41&lt;=$F$5:$F$41)*$F$5:$F$41))</f>
        <v>1</v>
      </c>
      <c r="Q14" s="28" t="n">
        <f aca="false">SUMPRODUCT((($G$5:$G$41&lt;$G$5:$G$41)*$G$5:$G$41+($G$5:$G$41&gt;=$G$5:$G$41)*$G$5:$G$41))/SUMPRODUCT((($G$5:$G$41&gt;$G$5:$G$41)*$G$5:$G$41+($G$5:$G$41&lt;=$G$5:$G$41)*$G$5:$G$41))</f>
        <v>1</v>
      </c>
      <c r="R14" s="28" t="n">
        <f aca="false">SUMPRODUCT((($G$5:$G$41&lt;$H$5:$H$41)*$G$5:$G$41+($G$5:$G$41&gt;=$H$5:$H$41)*$H$5:$H$41))/SUMPRODUCT((($G$5:$G$41&gt;$H$5:$H$41)*$G$5:$G$41+($G$5:$G$41&lt;=$H$5:$H$41)*$H$5:$H$41))</f>
        <v>1</v>
      </c>
      <c r="S14" s="28" t="n">
        <f aca="false">SUMPRODUCT((($G$5:$G$41&lt;$I$5:$I$41)*$G$5:$G$41+($G$5:$G$41&gt;=$I$5:$I$41)*$I$5:$I$41))/SUMPRODUCT((($G$5:$G$41&gt;$I$5:$I$41)*$G$5:$G$41+($G$5:$G$41&lt;=$I$5:$I$41)*$I$5:$I$41))</f>
        <v>0.921052631578947</v>
      </c>
      <c r="T14" s="28" t="n">
        <f aca="false">SUMPRODUCT((($G$5:$G$41&lt;$J$5:$J$41)*$G$5:$G$41+($G$5:$G$41&gt;=$J$5:$J$41)*$J$5:$J$41))/SUMPRODUCT((($G$5:$G$41&gt;$J$5:$J$41)*$G$5:$G$41+($G$5:$G$41&lt;=$J$5:$J$41)*$J$5:$J$41))</f>
        <v>0.886075949367089</v>
      </c>
    </row>
    <row r="15" customFormat="false" ht="15" hidden="false" customHeight="false" outlineLevel="0" collapsed="false">
      <c r="A15" s="24" t="s">
        <v>132</v>
      </c>
      <c r="B15" s="25" t="s">
        <v>105</v>
      </c>
      <c r="C15" s="24" t="s">
        <v>133</v>
      </c>
      <c r="D15" s="25" t="s">
        <v>134</v>
      </c>
      <c r="E15" s="26" t="n">
        <v>1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4" t="n">
        <f aca="false">MIN(F15:J15)</f>
        <v>1</v>
      </c>
      <c r="L15" s="24" t="n">
        <f aca="false">MAX(F15:J15)</f>
        <v>1</v>
      </c>
      <c r="M15" s="24" t="n">
        <f aca="false">L15-K15</f>
        <v>0</v>
      </c>
      <c r="O15" s="27" t="s">
        <v>91</v>
      </c>
      <c r="P15" s="28" t="n">
        <f aca="false">SUMPRODUCT((($H$5:$H$41&lt;$F$5:$F$41)*$H$5:$H$41+($H$5:$H$41&gt;=$F$5:$F$41)*$F$5:$F$41))/SUMPRODUCT((($H$5:$H$41&gt;$F$5:$F$41)*$H$5:$H$41+($H$5:$H$41&lt;=$F$5:$F$41)*$F$5:$F$41))</f>
        <v>1</v>
      </c>
      <c r="Q15" s="28" t="n">
        <f aca="false">SUMPRODUCT((($H$5:$H$41&lt;$G$5:$G$41)*$H$5:$H$41+($H$5:$H$41&gt;=$G$5:$G$41)*$G$5:$G$41))/SUMPRODUCT((($H$5:$H$41&gt;$G$5:$G$41)*$H$5:$H$41+($H$5:$H$41&lt;=$G$5:$G$41)*$G$5:$G$41))</f>
        <v>1</v>
      </c>
      <c r="R15" s="28" t="n">
        <f aca="false">SUMPRODUCT((($H$5:$H$41&lt;$H$5:$H$41)*$H$5:$H$41+($H$5:$H$41&gt;=$H$5:$H$41)*$H$5:$H$41))/SUMPRODUCT((($H$5:$H$41&gt;$H$5:$H$41)*$H$5:$H$41+($H$5:$H$41&lt;=$H$5:$H$41)*$H$5:$H$41))</f>
        <v>1</v>
      </c>
      <c r="S15" s="28" t="n">
        <f aca="false">SUMPRODUCT((($H$5:$H$41&lt;$I$5:$I$41)*$H$5:$H$41+($H$5:$H$41&gt;=$I$5:$I$41)*$I$5:$I$41))/SUMPRODUCT((($H$5:$H$41&gt;$I$5:$I$41)*$H$5:$H$41+($H$5:$H$41&lt;=$I$5:$I$41)*$I$5:$I$41))</f>
        <v>0.921052631578947</v>
      </c>
      <c r="T15" s="28" t="n">
        <f aca="false">SUMPRODUCT((($H$5:$H$41&lt;$J$5:$J$41)*$H$5:$H$41+($H$5:$H$41&gt;=$J$5:$J$41)*$J$5:$J$41))/SUMPRODUCT((($H$5:$H$41&gt;$J$5:$J$41)*$H$5:$H$41+($H$5:$H$41&lt;=$J$5:$J$41)*$J$5:$J$41))</f>
        <v>0.886075949367089</v>
      </c>
    </row>
    <row r="16" customFormat="false" ht="15" hidden="false" customHeight="false" outlineLevel="0" collapsed="false">
      <c r="A16" s="24" t="s">
        <v>135</v>
      </c>
      <c r="B16" s="25" t="s">
        <v>109</v>
      </c>
      <c r="C16" s="24" t="s">
        <v>136</v>
      </c>
      <c r="D16" s="25" t="s">
        <v>116</v>
      </c>
      <c r="E16" s="26" t="n">
        <v>1</v>
      </c>
      <c r="F16" s="26" t="n">
        <v>8</v>
      </c>
      <c r="G16" s="26" t="n">
        <v>8</v>
      </c>
      <c r="H16" s="26" t="n">
        <v>8</v>
      </c>
      <c r="I16" s="26" t="n">
        <v>7</v>
      </c>
      <c r="J16" s="26" t="n">
        <v>7</v>
      </c>
      <c r="K16" s="24" t="n">
        <f aca="false">MIN(F16:J16)</f>
        <v>7</v>
      </c>
      <c r="L16" s="24" t="n">
        <f aca="false">MAX(F16:J16)</f>
        <v>8</v>
      </c>
      <c r="M16" s="24" t="n">
        <f aca="false">L16-K16</f>
        <v>1</v>
      </c>
      <c r="O16" s="27" t="s">
        <v>92</v>
      </c>
      <c r="P16" s="28" t="n">
        <f aca="false">SUMPRODUCT((($I$5:$I$41&lt;$F$5:$F$41)*$I$5:$I$41+($I$5:$I$41&gt;=$F$5:$F$41)*$F$5:$F$41))/SUMPRODUCT((($I$5:$I$41&gt;$F$5:$F$41)*$I$5:$I$41+($I$5:$I$41&lt;=$F$5:$F$41)*$F$5:$F$41))</f>
        <v>0.921052631578947</v>
      </c>
      <c r="Q16" s="28" t="n">
        <f aca="false">SUMPRODUCT((($I$5:$I$41&lt;$G$5:$G$41)*$I$5:$I$41+($I$5:$I$41&gt;=$G$5:$G$41)*$G$5:$G$41))/SUMPRODUCT((($I$5:$I$41&gt;$G$5:$G$41)*$I$5:$I$41+($I$5:$I$41&lt;=$G$5:$G$41)*$G$5:$G$41))</f>
        <v>0.921052631578947</v>
      </c>
      <c r="R16" s="28" t="n">
        <f aca="false">SUMPRODUCT((($I$5:$I$41&lt;$H$5:$H$41)*$I$5:$I$41+($I$5:$I$41&gt;=$H$5:$H$41)*$H$5:$H$41))/SUMPRODUCT((($I$5:$I$41&gt;$H$5:$H$41)*$I$5:$I$41+($I$5:$I$41&lt;=$H$5:$H$41)*$H$5:$H$41))</f>
        <v>0.921052631578947</v>
      </c>
      <c r="S16" s="28" t="n">
        <f aca="false">SUMPRODUCT((($I$5:$I$41&lt;$I$5:$I$41)*$I$5:$I$41+($I$5:$I$41&gt;=$I$5:$I$41)*$I$5:$I$41))/SUMPRODUCT((($I$5:$I$41&gt;$I$5:$I$41)*$I$5:$I$41+($I$5:$I$41&lt;=$I$5:$I$41)*$I$5:$I$41))</f>
        <v>1</v>
      </c>
      <c r="T16" s="28" t="n">
        <f aca="false">SUMPRODUCT((($I$5:$I$41&lt;$J$5:$J$41)*$I$5:$I$41+($I$5:$I$41&gt;=$J$5:$J$41)*$J$5:$J$41))/SUMPRODUCT((($I$5:$I$41&gt;$J$5:$J$41)*$I$5:$I$41+($I$5:$I$41&lt;=$J$5:$J$41)*$J$5:$J$41))</f>
        <v>0.958904109589041</v>
      </c>
    </row>
    <row r="17" customFormat="false" ht="15" hidden="false" customHeight="false" outlineLevel="0" collapsed="false">
      <c r="A17" s="24" t="s">
        <v>137</v>
      </c>
      <c r="B17" s="25" t="s">
        <v>116</v>
      </c>
      <c r="C17" s="24" t="s">
        <v>138</v>
      </c>
      <c r="D17" s="25" t="s">
        <v>139</v>
      </c>
      <c r="E17" s="26" t="n">
        <v>1</v>
      </c>
      <c r="F17" s="26" t="n">
        <v>8</v>
      </c>
      <c r="G17" s="26" t="n">
        <v>8</v>
      </c>
      <c r="H17" s="26" t="n">
        <v>8</v>
      </c>
      <c r="I17" s="26" t="n">
        <v>7</v>
      </c>
      <c r="J17" s="26" t="n">
        <v>7</v>
      </c>
      <c r="K17" s="24" t="n">
        <f aca="false">MIN(F17:J17)</f>
        <v>7</v>
      </c>
      <c r="L17" s="24" t="n">
        <f aca="false">MAX(F17:J17)</f>
        <v>8</v>
      </c>
      <c r="M17" s="24" t="n">
        <f aca="false">L17-K17</f>
        <v>1</v>
      </c>
      <c r="O17" s="27" t="s">
        <v>93</v>
      </c>
      <c r="P17" s="28" t="n">
        <f aca="false">SUMPRODUCT((($J$5:$J$41&lt;$F$5:$F$41)*$J$5:$J$41+($J$5:$J$41&gt;=$F$5:$F$41)*$F$5:$F$41))/SUMPRODUCT((($J$5:$J$41&gt;$F$5:$F$41)*$J$5:$J$41+($J$5:$J$41&lt;=$F$5:$F$41)*$F$5:$F$41))</f>
        <v>0.886075949367089</v>
      </c>
      <c r="Q17" s="28" t="n">
        <f aca="false">SUMPRODUCT((($J$5:$J$41&lt;$G$5:$G$41)*$J$5:$J$41+($J$5:$J$41&gt;=$G$5:$G$41)*$G$5:$G$41))/SUMPRODUCT((($J$5:$J$41&gt;$G$5:$G$41)*$J$5:$J$41+($J$5:$J$41&lt;=$G$5:$G$41)*$G$5:$G$41))</f>
        <v>0.886075949367089</v>
      </c>
      <c r="R17" s="28" t="n">
        <f aca="false">SUMPRODUCT((($J$5:$J$41&lt;$H$5:$H$41)*$J$5:$J$41+($J$5:$J$41&gt;=$H$5:$H$41)*$H$5:$H$41))/SUMPRODUCT((($J$5:$J$41&gt;$H$5:$H$41)*$J$5:$J$41+($J$5:$J$41&lt;=$H$5:$H$41)*$H$5:$H$41))</f>
        <v>0.886075949367089</v>
      </c>
      <c r="S17" s="28" t="n">
        <f aca="false">SUMPRODUCT((($J$5:$J$41&lt;$I$5:$I$41)*$J$5:$J$41+($J$5:$J$41&gt;=$I$5:$I$41)*$I$5:$I$41))/SUMPRODUCT((($J$5:$J$41&gt;$I$5:$I$41)*$J$5:$J$41+($J$5:$J$41&lt;=$I$5:$I$41)*$I$5:$I$41))</f>
        <v>0.958904109589041</v>
      </c>
      <c r="T17" s="28" t="n">
        <f aca="false">SUMPRODUCT((($J$5:$J$41&lt;$J$5:$J$41)*$J$5:$J$41+($J$5:$J$41&gt;=$J$5:$J$41)*$J$5:$J$41))/SUMPRODUCT((($J$5:$J$41&gt;$J$5:$J$41)*$J$5:$J$41+($J$5:$J$41&lt;=$J$5:$J$41)*$J$5:$J$41))</f>
        <v>1</v>
      </c>
    </row>
    <row r="18" customFormat="false" ht="15" hidden="false" customHeight="false" outlineLevel="0" collapsed="false">
      <c r="A18" s="24" t="s">
        <v>140</v>
      </c>
      <c r="B18" s="25" t="s">
        <v>116</v>
      </c>
      <c r="C18" s="24" t="s">
        <v>124</v>
      </c>
      <c r="D18" s="25" t="s">
        <v>120</v>
      </c>
      <c r="E18" s="26" t="n">
        <v>1</v>
      </c>
      <c r="F18" s="26" t="n">
        <v>8</v>
      </c>
      <c r="G18" s="26" t="n">
        <v>8</v>
      </c>
      <c r="H18" s="26" t="n">
        <v>8</v>
      </c>
      <c r="I18" s="26" t="n">
        <v>7</v>
      </c>
      <c r="J18" s="26" t="n">
        <v>7</v>
      </c>
      <c r="K18" s="24" t="n">
        <f aca="false">MIN(F18:J18)</f>
        <v>7</v>
      </c>
      <c r="L18" s="24" t="n">
        <f aca="false">MAX(F18:J18)</f>
        <v>8</v>
      </c>
      <c r="M18" s="24" t="n">
        <f aca="false">L18-K18</f>
        <v>1</v>
      </c>
    </row>
    <row r="19" customFormat="false" ht="15" hidden="false" customHeight="false" outlineLevel="0" collapsed="false">
      <c r="A19" s="24" t="s">
        <v>141</v>
      </c>
      <c r="B19" s="25" t="s">
        <v>116</v>
      </c>
      <c r="C19" s="24" t="s">
        <v>127</v>
      </c>
      <c r="D19" s="25" t="s">
        <v>100</v>
      </c>
      <c r="E19" s="26" t="n">
        <v>1</v>
      </c>
      <c r="F19" s="26" t="n">
        <v>8</v>
      </c>
      <c r="G19" s="26" t="n">
        <v>8</v>
      </c>
      <c r="H19" s="26" t="n">
        <v>8</v>
      </c>
      <c r="I19" s="26" t="n">
        <v>7</v>
      </c>
      <c r="J19" s="26" t="n">
        <v>7</v>
      </c>
      <c r="K19" s="24" t="n">
        <f aca="false">MIN(F19:J19)</f>
        <v>7</v>
      </c>
      <c r="L19" s="24" t="n">
        <f aca="false">MAX(F19:J19)</f>
        <v>8</v>
      </c>
      <c r="M19" s="24" t="n">
        <f aca="false">L19-K19</f>
        <v>1</v>
      </c>
      <c r="O19" s="17" t="s">
        <v>142</v>
      </c>
    </row>
    <row r="20" customFormat="false" ht="15" hidden="false" customHeight="false" outlineLevel="0" collapsed="false">
      <c r="A20" s="24" t="s">
        <v>143</v>
      </c>
      <c r="B20" s="25" t="s">
        <v>116</v>
      </c>
      <c r="C20" s="24" t="s">
        <v>129</v>
      </c>
      <c r="D20" s="25" t="s">
        <v>120</v>
      </c>
      <c r="E20" s="26" t="n">
        <v>1</v>
      </c>
      <c r="F20" s="26" t="n">
        <v>8</v>
      </c>
      <c r="G20" s="26" t="n">
        <v>8</v>
      </c>
      <c r="H20" s="26" t="n">
        <v>8</v>
      </c>
      <c r="I20" s="26" t="n">
        <v>7</v>
      </c>
      <c r="J20" s="26" t="n">
        <v>7</v>
      </c>
      <c r="K20" s="24" t="n">
        <f aca="false">MIN(F20:J20)</f>
        <v>7</v>
      </c>
      <c r="L20" s="24" t="n">
        <f aca="false">MAX(F20:J20)</f>
        <v>8</v>
      </c>
      <c r="M20" s="24" t="n">
        <f aca="false">L20-K20</f>
        <v>1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102</v>
      </c>
      <c r="C21" s="24" t="s">
        <v>101</v>
      </c>
      <c r="D21" s="25" t="s">
        <v>145</v>
      </c>
      <c r="E21" s="26" t="n">
        <v>0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4" t="n">
        <f aca="false">MIN(F21:J21)</f>
        <v>1</v>
      </c>
      <c r="L21" s="24" t="n">
        <f aca="false">MAX(F21:J21)</f>
        <v>1</v>
      </c>
      <c r="M21" s="24" t="n">
        <f aca="false">L21-K21</f>
        <v>0</v>
      </c>
      <c r="O21" s="27" t="s">
        <v>89</v>
      </c>
      <c r="P21" s="28" t="n">
        <f aca="false">SUMPRODUCT($E$5:$E$41*(($F$5:$F$41&lt;$F$5:$F$41)*$F$5:$F$41+($F$5:$F$41&gt;=$F$5:$F$41)*$F$5:$F$41))/SUMPRODUCT($E$5:$E$41*(($F$5:$F$41&gt;$F$5:$F$41)*$F$5:$F$41+($F$5:$F$41&lt;=$F$5:$F$41)*$F$5:$F$41))</f>
        <v>1</v>
      </c>
      <c r="Q21" s="28" t="n">
        <f aca="false">SUMPRODUCT($E$5:$E$41*(($F$5:$F$41&lt;$G$5:$G$41)*$F$5:$F$41+($F$5:$F$41&gt;=$G$5:$G$41)*$G$5:$G$41))/SUMPRODUCT($E$5:$E$41*(($F$5:$F$41&gt;$G$5:$G$41)*$F$5:$F$41+($F$5:$F$41&lt;=$G$5:$G$41)*$G$5:$G$41))</f>
        <v>1</v>
      </c>
      <c r="R21" s="28" t="n">
        <f aca="false">SUMPRODUCT($E$5:$E$41*(($F$5:$F$41&lt;$H$5:$H$41)*$F$5:$F$41+($F$5:$F$41&gt;=$H$5:$H$41)*$H$5:$H$41))/SUMPRODUCT($E$5:$E$41*(($F$5:$F$41&gt;$H$5:$H$41)*$F$5:$F$41+($F$5:$F$41&lt;=$H$5:$H$41)*$H$5:$H$41))</f>
        <v>1</v>
      </c>
      <c r="S21" s="28" t="n">
        <f aca="false">SUMPRODUCT($E$5:$E$41*(($F$5:$F$41&lt;$I$5:$I$41)*$F$5:$F$41+($F$5:$F$41&gt;=$I$5:$I$41)*$I$5:$I$41))/SUMPRODUCT($E$5:$E$41*(($F$5:$F$41&gt;$I$5:$I$41)*$F$5:$F$41+($F$5:$F$41&lt;=$I$5:$I$41)*$I$5:$I$41))</f>
        <v>0.890909090909091</v>
      </c>
      <c r="T21" s="28" t="n">
        <f aca="false">SUMPRODUCT($E$5:$E$41*(($F$5:$F$41&lt;$J$5:$J$41)*$F$5:$F$41+($F$5:$F$41&gt;=$J$5:$J$41)*$J$5:$J$41))/SUMPRODUCT($E$5:$E$41*(($F$5:$F$41&gt;$J$5:$J$41)*$F$5:$F$41+($F$5:$F$41&lt;=$J$5:$J$41)*$J$5:$J$41))</f>
        <v>0.844827586206897</v>
      </c>
    </row>
    <row r="22" customFormat="false" ht="15" hidden="false" customHeight="false" outlineLevel="0" collapsed="false">
      <c r="A22" s="24" t="s">
        <v>146</v>
      </c>
      <c r="B22" s="25" t="s">
        <v>106</v>
      </c>
      <c r="C22" s="24" t="s">
        <v>101</v>
      </c>
      <c r="D22" s="25" t="s">
        <v>145</v>
      </c>
      <c r="E22" s="26" t="n">
        <v>0</v>
      </c>
      <c r="F22" s="26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4" t="n">
        <f aca="false">MIN(F22:J22)</f>
        <v>1</v>
      </c>
      <c r="L22" s="24" t="n">
        <f aca="false">MAX(F22:J22)</f>
        <v>1</v>
      </c>
      <c r="M22" s="24" t="n">
        <f aca="false">L22-K22</f>
        <v>0</v>
      </c>
      <c r="O22" s="27" t="s">
        <v>90</v>
      </c>
      <c r="P22" s="28" t="n">
        <f aca="false">SUMPRODUCT($E$5:$E$41*(($G$5:$G$41&lt;$F$5:$F$41)*$G$5:$G$41+($G$5:$G$41&gt;=$F$5:$F$41)*$F$5:$F$41))/SUMPRODUCT($E$5:$E$41*(($G$5:$G$41&gt;$F$5:$F$41)*$G$5:$G$41+($G$5:$G$41&lt;=$F$5:$F$41)*$F$5:$F$41))</f>
        <v>1</v>
      </c>
      <c r="Q22" s="28" t="n">
        <f aca="false">SUMPRODUCT($E$5:$E$41*(($G$5:$G$41&lt;$G$5:$G$41)*$G$5:$G$41+($G$5:$G$41&gt;=$G$5:$G$41)*$G$5:$G$41))/SUMPRODUCT($E$5:$E$41*(($G$5:$G$41&gt;$G$5:$G$41)*$G$5:$G$41+($G$5:$G$41&lt;=$G$5:$G$41)*$G$5:$G$41))</f>
        <v>1</v>
      </c>
      <c r="R22" s="28" t="n">
        <f aca="false">SUMPRODUCT($E$5:$E$41*(($G$5:$G$41&lt;$H$5:$H$41)*$G$5:$G$41+($G$5:$G$41&gt;=$H$5:$H$41)*$H$5:$H$41))/SUMPRODUCT($E$5:$E$41*(($G$5:$G$41&gt;$H$5:$H$41)*$G$5:$G$41+($G$5:$G$41&lt;=$H$5:$H$41)*$H$5:$H$41))</f>
        <v>1</v>
      </c>
      <c r="S22" s="28" t="n">
        <f aca="false">SUMPRODUCT($E$5:$E$41*(($G$5:$G$41&lt;$I$5:$I$41)*$G$5:$G$41+($G$5:$G$41&gt;=$I$5:$I$41)*$I$5:$I$41))/SUMPRODUCT($E$5:$E$41*(($G$5:$G$41&gt;$I$5:$I$41)*$G$5:$G$41+($G$5:$G$41&lt;=$I$5:$I$41)*$I$5:$I$41))</f>
        <v>0.890909090909091</v>
      </c>
      <c r="T22" s="28" t="n">
        <f aca="false">SUMPRODUCT($E$5:$E$41*(($G$5:$G$41&lt;$J$5:$J$41)*$G$5:$G$41+($G$5:$G$41&gt;=$J$5:$J$41)*$J$5:$J$41))/SUMPRODUCT($E$5:$E$41*(($G$5:$G$41&gt;$J$5:$J$41)*$G$5:$G$41+($G$5:$G$41&lt;=$J$5:$J$41)*$J$5:$J$41))</f>
        <v>0.844827586206897</v>
      </c>
    </row>
    <row r="23" customFormat="false" ht="15" hidden="false" customHeight="false" outlineLevel="0" collapsed="false">
      <c r="A23" s="24" t="s">
        <v>147</v>
      </c>
      <c r="B23" s="25" t="s">
        <v>113</v>
      </c>
      <c r="C23" s="24" t="s">
        <v>101</v>
      </c>
      <c r="D23" s="25" t="s">
        <v>145</v>
      </c>
      <c r="E23" s="26" t="n">
        <v>0</v>
      </c>
      <c r="F23" s="26" t="n">
        <v>1</v>
      </c>
      <c r="G23" s="26" t="n">
        <v>1</v>
      </c>
      <c r="H23" s="26" t="n">
        <v>1</v>
      </c>
      <c r="I23" s="26" t="n">
        <v>1</v>
      </c>
      <c r="J23" s="26" t="n">
        <v>1</v>
      </c>
      <c r="K23" s="24" t="n">
        <f aca="false">MIN(F23:J23)</f>
        <v>1</v>
      </c>
      <c r="L23" s="24" t="n">
        <f aca="false">MAX(F23:J23)</f>
        <v>1</v>
      </c>
      <c r="M23" s="24" t="n">
        <f aca="false">L23-K23</f>
        <v>0</v>
      </c>
      <c r="O23" s="27" t="s">
        <v>91</v>
      </c>
      <c r="P23" s="28" t="n">
        <f aca="false">SUMPRODUCT($E$5:$E$41*(($H$5:$H$41&lt;$F$5:$F$41)*$H$5:$H$41+($H$5:$H$41&gt;=$F$5:$F$41)*$F$5:$F$41))/SUMPRODUCT($E$5:$E$41*(($H$5:$H$41&gt;$F$5:$F$41)*$H$5:$H$41+($H$5:$H$41&lt;=$F$5:$F$41)*$F$5:$F$41))</f>
        <v>1</v>
      </c>
      <c r="Q23" s="28" t="n">
        <f aca="false">SUMPRODUCT($E$5:$E$41*(($H$5:$H$41&lt;$G$5:$G$41)*$H$5:$H$41+($H$5:$H$41&gt;=$G$5:$G$41)*$G$5:$G$41))/SUMPRODUCT($E$5:$E$41*(($H$5:$H$41&gt;$G$5:$G$41)*$H$5:$H$41+($H$5:$H$41&lt;=$G$5:$G$41)*$G$5:$G$41))</f>
        <v>1</v>
      </c>
      <c r="R23" s="28" t="n">
        <f aca="false">SUMPRODUCT($E$5:$E$41*(($H$5:$H$41&lt;$H$5:$H$41)*$H$5:$H$41+($H$5:$H$41&gt;=$H$5:$H$41)*$H$5:$H$41))/SUMPRODUCT($E$5:$E$41*(($H$5:$H$41&gt;$H$5:$H$41)*$H$5:$H$41+($H$5:$H$41&lt;=$H$5:$H$41)*$H$5:$H$41))</f>
        <v>1</v>
      </c>
      <c r="S23" s="28" t="n">
        <f aca="false">SUMPRODUCT($E$5:$E$41*(($H$5:$H$41&lt;$I$5:$I$41)*$H$5:$H$41+($H$5:$H$41&gt;=$I$5:$I$41)*$I$5:$I$41))/SUMPRODUCT($E$5:$E$41*(($H$5:$H$41&gt;$I$5:$I$41)*$H$5:$H$41+($H$5:$H$41&lt;=$I$5:$I$41)*$I$5:$I$41))</f>
        <v>0.890909090909091</v>
      </c>
      <c r="T23" s="28" t="n">
        <f aca="false">SUMPRODUCT($E$5:$E$41*(($H$5:$H$41&lt;$J$5:$J$41)*$H$5:$H$41+($H$5:$H$41&gt;=$J$5:$J$41)*$J$5:$J$41))/SUMPRODUCT($E$5:$E$41*(($H$5:$H$41&gt;$J$5:$J$41)*$H$5:$H$41+($H$5:$H$41&lt;=$J$5:$J$41)*$J$5:$J$41))</f>
        <v>0.844827586206897</v>
      </c>
    </row>
    <row r="24" customFormat="false" ht="15" hidden="false" customHeight="false" outlineLevel="0" collapsed="false">
      <c r="A24" s="24" t="s">
        <v>148</v>
      </c>
      <c r="B24" s="25" t="s">
        <v>117</v>
      </c>
      <c r="C24" s="24" t="s">
        <v>101</v>
      </c>
      <c r="D24" s="25" t="s">
        <v>145</v>
      </c>
      <c r="E24" s="26" t="n">
        <v>0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4" t="n">
        <f aca="false">MIN(F24:J24)</f>
        <v>1</v>
      </c>
      <c r="L24" s="24" t="n">
        <f aca="false">MAX(F24:J24)</f>
        <v>1</v>
      </c>
      <c r="M24" s="24" t="n">
        <f aca="false">L24-K24</f>
        <v>0</v>
      </c>
      <c r="O24" s="27" t="s">
        <v>92</v>
      </c>
      <c r="P24" s="28" t="n">
        <f aca="false">SUMPRODUCT($E$5:$E$41*(($I$5:$I$41&lt;$F$5:$F$41)*$I$5:$I$41+($I$5:$I$41&gt;=$F$5:$F$41)*$F$5:$F$41))/SUMPRODUCT($E$5:$E$41*(($I$5:$I$41&gt;$F$5:$F$41)*$I$5:$I$41+($I$5:$I$41&lt;=$F$5:$F$41)*$F$5:$F$41))</f>
        <v>0.890909090909091</v>
      </c>
      <c r="Q24" s="28" t="n">
        <f aca="false">SUMPRODUCT($E$5:$E$41*(($I$5:$I$41&lt;$G$5:$G$41)*$I$5:$I$41+($I$5:$I$41&gt;=$G$5:$G$41)*$G$5:$G$41))/SUMPRODUCT($E$5:$E$41*(($I$5:$I$41&gt;$G$5:$G$41)*$I$5:$I$41+($I$5:$I$41&lt;=$G$5:$G$41)*$G$5:$G$41))</f>
        <v>0.890909090909091</v>
      </c>
      <c r="R24" s="28" t="n">
        <f aca="false">SUMPRODUCT($E$5:$E$41*(($I$5:$I$41&lt;$H$5:$H$41)*$I$5:$I$41+($I$5:$I$41&gt;=$H$5:$H$41)*$H$5:$H$41))/SUMPRODUCT($E$5:$E$41*(($I$5:$I$41&gt;$H$5:$H$41)*$I$5:$I$41+($I$5:$I$41&lt;=$H$5:$H$41)*$H$5:$H$41))</f>
        <v>0.890909090909091</v>
      </c>
      <c r="S24" s="28" t="n">
        <f aca="false">SUMPRODUCT($E$5:$E$41*(($I$5:$I$41&lt;$I$5:$I$41)*$I$5:$I$41+($I$5:$I$41&gt;=$I$5:$I$41)*$I$5:$I$41))/SUMPRODUCT($E$5:$E$41*(($I$5:$I$41&gt;$I$5:$I$41)*$I$5:$I$41+($I$5:$I$41&lt;=$I$5:$I$41)*$I$5:$I$41))</f>
        <v>1</v>
      </c>
      <c r="T24" s="28" t="n">
        <f aca="false">SUMPRODUCT($E$5:$E$41*(($I$5:$I$41&lt;$J$5:$J$41)*$I$5:$I$41+($I$5:$I$41&gt;=$J$5:$J$41)*$J$5:$J$41))/SUMPRODUCT($E$5:$E$41*(($I$5:$I$41&gt;$J$5:$J$41)*$I$5:$I$41+($I$5:$I$41&lt;=$J$5:$J$41)*$J$5:$J$41))</f>
        <v>0.942307692307692</v>
      </c>
    </row>
    <row r="25" customFormat="false" ht="15" hidden="false" customHeight="false" outlineLevel="0" collapsed="false">
      <c r="A25" s="24" t="s">
        <v>149</v>
      </c>
      <c r="B25" s="25" t="s">
        <v>121</v>
      </c>
      <c r="C25" s="24" t="s">
        <v>101</v>
      </c>
      <c r="D25" s="25" t="s">
        <v>145</v>
      </c>
      <c r="E25" s="26" t="n">
        <v>0</v>
      </c>
      <c r="F25" s="26" t="n">
        <v>1</v>
      </c>
      <c r="G25" s="26" t="n">
        <v>1</v>
      </c>
      <c r="H25" s="26" t="n">
        <v>1</v>
      </c>
      <c r="I25" s="26" t="n">
        <v>1</v>
      </c>
      <c r="J25" s="26" t="n">
        <v>1</v>
      </c>
      <c r="K25" s="24" t="n">
        <f aca="false">MIN(F25:J25)</f>
        <v>1</v>
      </c>
      <c r="L25" s="24" t="n">
        <f aca="false">MAX(F25:J25)</f>
        <v>1</v>
      </c>
      <c r="M25" s="24" t="n">
        <f aca="false">L25-K25</f>
        <v>0</v>
      </c>
      <c r="O25" s="27" t="s">
        <v>93</v>
      </c>
      <c r="P25" s="28" t="n">
        <f aca="false">SUMPRODUCT($E$5:$E$41*(($J$5:$J$41&lt;$F$5:$F$41)*$J$5:$J$41+($J$5:$J$41&gt;=$F$5:$F$41)*$F$5:$F$41))/SUMPRODUCT($E$5:$E$41*(($J$5:$J$41&gt;$F$5:$F$41)*$J$5:$J$41+($J$5:$J$41&lt;=$F$5:$F$41)*$F$5:$F$41))</f>
        <v>0.844827586206897</v>
      </c>
      <c r="Q25" s="28" t="n">
        <f aca="false">SUMPRODUCT($E$5:$E$41*(($J$5:$J$41&lt;$G$5:$G$41)*$J$5:$J$41+($J$5:$J$41&gt;=$G$5:$G$41)*$G$5:$G$41))/SUMPRODUCT($E$5:$E$41*(($J$5:$J$41&gt;$G$5:$G$41)*$J$5:$J$41+($J$5:$J$41&lt;=$G$5:$G$41)*$G$5:$G$41))</f>
        <v>0.844827586206897</v>
      </c>
      <c r="R25" s="28" t="n">
        <f aca="false">SUMPRODUCT($E$5:$E$41*(($J$5:$J$41&lt;$H$5:$H$41)*$J$5:$J$41+($J$5:$J$41&gt;=$H$5:$H$41)*$H$5:$H$41))/SUMPRODUCT($E$5:$E$41*(($J$5:$J$41&gt;$H$5:$H$41)*$J$5:$J$41+($J$5:$J$41&lt;=$H$5:$H$41)*$H$5:$H$41))</f>
        <v>0.844827586206897</v>
      </c>
      <c r="S25" s="28" t="n">
        <f aca="false">SUMPRODUCT($E$5:$E$41*(($J$5:$J$41&lt;$I$5:$I$41)*$J$5:$J$41+($J$5:$J$41&gt;=$I$5:$I$41)*$I$5:$I$41))/SUMPRODUCT($E$5:$E$41*(($J$5:$J$41&gt;$I$5:$I$41)*$J$5:$J$41+($J$5:$J$41&lt;=$I$5:$I$41)*$I$5:$I$41))</f>
        <v>0.942307692307692</v>
      </c>
      <c r="T25" s="28" t="n">
        <f aca="false">SUMPRODUCT($E$5:$E$41*(($J$5:$J$41&lt;$J$5:$J$41)*$J$5:$J$41+($J$5:$J$41&gt;=$J$5:$J$41)*$J$5:$J$41))/SUMPRODUCT($E$5:$E$41*(($J$5:$J$41&gt;$J$5:$J$41)*$J$5:$J$41+($J$5:$J$41&lt;=$J$5:$J$41)*$J$5:$J$41))</f>
        <v>1</v>
      </c>
    </row>
    <row r="26" customFormat="false" ht="15" hidden="false" customHeight="false" outlineLevel="0" collapsed="false">
      <c r="A26" s="24" t="s">
        <v>150</v>
      </c>
      <c r="B26" s="25" t="s">
        <v>124</v>
      </c>
      <c r="C26" s="24" t="s">
        <v>101</v>
      </c>
      <c r="D26" s="25" t="s">
        <v>151</v>
      </c>
      <c r="E26" s="26" t="n">
        <v>0</v>
      </c>
      <c r="F26" s="26" t="n">
        <v>1</v>
      </c>
      <c r="G26" s="26" t="n">
        <v>1</v>
      </c>
      <c r="H26" s="26" t="n">
        <v>1</v>
      </c>
      <c r="I26" s="26" t="n">
        <v>1</v>
      </c>
      <c r="J26" s="26" t="n">
        <v>1</v>
      </c>
      <c r="K26" s="24" t="n">
        <f aca="false">MIN(F26:J26)</f>
        <v>1</v>
      </c>
      <c r="L26" s="24" t="n">
        <f aca="false">MAX(F26:J26)</f>
        <v>1</v>
      </c>
      <c r="M26" s="24" t="n">
        <f aca="false">L26-K26</f>
        <v>0</v>
      </c>
    </row>
    <row r="27" customFormat="false" ht="15" hidden="false" customHeight="false" outlineLevel="0" collapsed="false">
      <c r="A27" s="24" t="s">
        <v>152</v>
      </c>
      <c r="B27" s="25" t="s">
        <v>131</v>
      </c>
      <c r="C27" s="24" t="s">
        <v>101</v>
      </c>
      <c r="D27" s="25" t="s">
        <v>151</v>
      </c>
      <c r="E27" s="26" t="n">
        <v>0</v>
      </c>
      <c r="F27" s="26" t="n">
        <v>1</v>
      </c>
      <c r="G27" s="26" t="n">
        <v>1</v>
      </c>
      <c r="H27" s="26" t="n">
        <v>1</v>
      </c>
      <c r="I27" s="26" t="n">
        <v>1</v>
      </c>
      <c r="J27" s="26" t="n">
        <v>1</v>
      </c>
      <c r="K27" s="24" t="n">
        <f aca="false">MIN(F27:J27)</f>
        <v>1</v>
      </c>
      <c r="L27" s="24" t="n">
        <f aca="false">MAX(F27:J27)</f>
        <v>1</v>
      </c>
      <c r="M27" s="24" t="n">
        <f aca="false">L27-K27</f>
        <v>0</v>
      </c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A28" s="24" t="s">
        <v>153</v>
      </c>
      <c r="B28" s="25" t="s">
        <v>154</v>
      </c>
      <c r="C28" s="24" t="s">
        <v>101</v>
      </c>
      <c r="D28" s="25" t="s">
        <v>155</v>
      </c>
      <c r="E28" s="26" t="n">
        <v>0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4" t="n">
        <f aca="false">MIN(F28:J28)</f>
        <v>1</v>
      </c>
      <c r="L28" s="24" t="n">
        <f aca="false">MAX(F28:J28)</f>
        <v>1</v>
      </c>
      <c r="M28" s="24" t="n">
        <f aca="false">L28-K28</f>
        <v>0</v>
      </c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A29" s="24" t="s">
        <v>156</v>
      </c>
      <c r="B29" s="25" t="s">
        <v>157</v>
      </c>
      <c r="C29" s="24" t="s">
        <v>101</v>
      </c>
      <c r="D29" s="25" t="s">
        <v>155</v>
      </c>
      <c r="E29" s="26" t="n">
        <v>0</v>
      </c>
      <c r="F29" s="26" t="n">
        <v>1</v>
      </c>
      <c r="G29" s="26" t="n">
        <v>1</v>
      </c>
      <c r="H29" s="26" t="n">
        <v>1</v>
      </c>
      <c r="I29" s="26" t="n">
        <v>1</v>
      </c>
      <c r="J29" s="26" t="n">
        <v>1</v>
      </c>
      <c r="K29" s="24" t="n">
        <f aca="false">MIN(F29:J29)</f>
        <v>1</v>
      </c>
      <c r="L29" s="24" t="n">
        <f aca="false">MAX(F29:J29)</f>
        <v>1</v>
      </c>
      <c r="M29" s="24" t="n">
        <f aca="false">L29-K29</f>
        <v>0</v>
      </c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A30" s="24" t="s">
        <v>158</v>
      </c>
      <c r="B30" s="25" t="s">
        <v>127</v>
      </c>
      <c r="C30" s="24" t="s">
        <v>101</v>
      </c>
      <c r="D30" s="25" t="s">
        <v>151</v>
      </c>
      <c r="E30" s="26" t="n">
        <v>0</v>
      </c>
      <c r="F30" s="26" t="n">
        <v>1</v>
      </c>
      <c r="G30" s="26" t="n">
        <v>1</v>
      </c>
      <c r="H30" s="26" t="n">
        <v>1</v>
      </c>
      <c r="I30" s="26" t="n">
        <v>1</v>
      </c>
      <c r="J30" s="26" t="n">
        <v>1</v>
      </c>
      <c r="K30" s="24" t="n">
        <f aca="false">MIN(F30:J30)</f>
        <v>1</v>
      </c>
      <c r="L30" s="24" t="n">
        <f aca="false">MAX(F30:J30)</f>
        <v>1</v>
      </c>
      <c r="M30" s="24" t="n">
        <f aca="false">L30-K30</f>
        <v>0</v>
      </c>
      <c r="O30" s="22" t="s">
        <v>74</v>
      </c>
      <c r="P30" s="12" t="n">
        <f aca="false">S13</f>
        <v>0.921052631578947</v>
      </c>
      <c r="Q30" s="12" t="n">
        <f aca="false">S21</f>
        <v>0.890909090909091</v>
      </c>
    </row>
    <row r="31" customFormat="false" ht="15" hidden="false" customHeight="false" outlineLevel="0" collapsed="false">
      <c r="A31" s="24" t="s">
        <v>159</v>
      </c>
      <c r="B31" s="25" t="s">
        <v>136</v>
      </c>
      <c r="C31" s="24" t="s">
        <v>101</v>
      </c>
      <c r="D31" s="25" t="s">
        <v>151</v>
      </c>
      <c r="E31" s="26" t="n">
        <v>0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4" t="n">
        <f aca="false">MIN(F31:J31)</f>
        <v>1</v>
      </c>
      <c r="L31" s="24" t="n">
        <f aca="false">MAX(F31:J31)</f>
        <v>1</v>
      </c>
      <c r="M31" s="24" t="n">
        <f aca="false">L31-K31</f>
        <v>0</v>
      </c>
      <c r="O31" s="22" t="s">
        <v>75</v>
      </c>
      <c r="P31" s="12" t="n">
        <f aca="false">T13</f>
        <v>0.886075949367089</v>
      </c>
      <c r="Q31" s="12" t="n">
        <f aca="false">T21</f>
        <v>0.844827586206897</v>
      </c>
    </row>
    <row r="32" customFormat="false" ht="15" hidden="false" customHeight="false" outlineLevel="0" collapsed="false">
      <c r="A32" s="24" t="s">
        <v>160</v>
      </c>
      <c r="B32" s="25" t="s">
        <v>129</v>
      </c>
      <c r="C32" s="24" t="s">
        <v>101</v>
      </c>
      <c r="D32" s="25" t="s">
        <v>151</v>
      </c>
      <c r="E32" s="26" t="n">
        <v>0</v>
      </c>
      <c r="F32" s="26" t="n">
        <v>1</v>
      </c>
      <c r="G32" s="26" t="n">
        <v>1</v>
      </c>
      <c r="H32" s="26" t="n">
        <v>1</v>
      </c>
      <c r="I32" s="26" t="n">
        <v>1</v>
      </c>
      <c r="J32" s="26" t="n">
        <v>1</v>
      </c>
      <c r="K32" s="24" t="n">
        <f aca="false">MIN(F32:J32)</f>
        <v>1</v>
      </c>
      <c r="L32" s="24" t="n">
        <f aca="false">MAX(F32:J32)</f>
        <v>1</v>
      </c>
      <c r="M32" s="24" t="n">
        <f aca="false">L32-K32</f>
        <v>0</v>
      </c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A33" s="24" t="s">
        <v>161</v>
      </c>
      <c r="B33" s="25" t="s">
        <v>162</v>
      </c>
      <c r="C33" s="24" t="s">
        <v>101</v>
      </c>
      <c r="D33" s="25" t="s">
        <v>155</v>
      </c>
      <c r="E33" s="26" t="n">
        <v>0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4" t="n">
        <f aca="false">MIN(F33:J33)</f>
        <v>1</v>
      </c>
      <c r="L33" s="24" t="n">
        <f aca="false">MAX(F33:J33)</f>
        <v>1</v>
      </c>
      <c r="M33" s="24" t="n">
        <f aca="false">L33-K33</f>
        <v>0</v>
      </c>
      <c r="O33" s="22" t="s">
        <v>77</v>
      </c>
      <c r="P33" s="12" t="n">
        <f aca="false">S14</f>
        <v>0.921052631578947</v>
      </c>
      <c r="Q33" s="12" t="n">
        <f aca="false">S22</f>
        <v>0.890909090909091</v>
      </c>
    </row>
    <row r="34" customFormat="false" ht="15" hidden="false" customHeight="false" outlineLevel="0" collapsed="false">
      <c r="A34" s="24" t="s">
        <v>163</v>
      </c>
      <c r="B34" s="25" t="s">
        <v>124</v>
      </c>
      <c r="C34" s="24" t="s">
        <v>164</v>
      </c>
      <c r="D34" s="25" t="s">
        <v>165</v>
      </c>
      <c r="E34" s="26" t="n">
        <v>0</v>
      </c>
      <c r="F34" s="26" t="n">
        <v>1</v>
      </c>
      <c r="G34" s="26" t="n">
        <v>1</v>
      </c>
      <c r="H34" s="26" t="n">
        <v>1</v>
      </c>
      <c r="I34" s="26" t="n">
        <v>1</v>
      </c>
      <c r="J34" s="26" t="n">
        <v>1</v>
      </c>
      <c r="K34" s="24" t="n">
        <f aca="false">MIN(F34:J34)</f>
        <v>1</v>
      </c>
      <c r="L34" s="24" t="n">
        <f aca="false">MAX(F34:J34)</f>
        <v>1</v>
      </c>
      <c r="M34" s="24" t="n">
        <f aca="false">L34-K34</f>
        <v>0</v>
      </c>
      <c r="O34" s="22" t="s">
        <v>78</v>
      </c>
      <c r="P34" s="12" t="n">
        <f aca="false">T14</f>
        <v>0.886075949367089</v>
      </c>
      <c r="Q34" s="12" t="n">
        <f aca="false">T22</f>
        <v>0.844827586206897</v>
      </c>
    </row>
    <row r="35" customFormat="false" ht="15" hidden="false" customHeight="false" outlineLevel="0" collapsed="false">
      <c r="A35" s="24" t="s">
        <v>166</v>
      </c>
      <c r="B35" s="25" t="s">
        <v>131</v>
      </c>
      <c r="C35" s="24" t="s">
        <v>164</v>
      </c>
      <c r="D35" s="25" t="s">
        <v>165</v>
      </c>
      <c r="E35" s="26" t="n">
        <v>0</v>
      </c>
      <c r="F35" s="26" t="n">
        <v>1</v>
      </c>
      <c r="G35" s="26" t="n">
        <v>1</v>
      </c>
      <c r="H35" s="26" t="n">
        <v>1</v>
      </c>
      <c r="I35" s="26" t="n">
        <v>1</v>
      </c>
      <c r="J35" s="26" t="n">
        <v>1</v>
      </c>
      <c r="K35" s="24" t="n">
        <f aca="false">MIN(F35:J35)</f>
        <v>1</v>
      </c>
      <c r="L35" s="24" t="n">
        <f aca="false">MAX(F35:J35)</f>
        <v>1</v>
      </c>
      <c r="M35" s="24" t="n">
        <f aca="false">L35-K35</f>
        <v>0</v>
      </c>
      <c r="O35" s="22" t="s">
        <v>79</v>
      </c>
      <c r="P35" s="12" t="n">
        <f aca="false">S15</f>
        <v>0.921052631578947</v>
      </c>
      <c r="Q35" s="12" t="n">
        <f aca="false">S23</f>
        <v>0.890909090909091</v>
      </c>
    </row>
    <row r="36" customFormat="false" ht="15" hidden="false" customHeight="false" outlineLevel="0" collapsed="false">
      <c r="A36" s="24" t="s">
        <v>167</v>
      </c>
      <c r="B36" s="25" t="s">
        <v>154</v>
      </c>
      <c r="C36" s="24" t="s">
        <v>164</v>
      </c>
      <c r="D36" s="25" t="s">
        <v>165</v>
      </c>
      <c r="E36" s="26" t="n">
        <v>0</v>
      </c>
      <c r="F36" s="26" t="n">
        <v>1</v>
      </c>
      <c r="G36" s="26" t="n">
        <v>1</v>
      </c>
      <c r="H36" s="26" t="n">
        <v>1</v>
      </c>
      <c r="I36" s="26" t="n">
        <v>1</v>
      </c>
      <c r="J36" s="26" t="n">
        <v>1</v>
      </c>
      <c r="K36" s="24" t="n">
        <f aca="false">MIN(F36:J36)</f>
        <v>1</v>
      </c>
      <c r="L36" s="24" t="n">
        <f aca="false">MAX(F36:J36)</f>
        <v>1</v>
      </c>
      <c r="M36" s="24" t="n">
        <f aca="false">L36-K36</f>
        <v>0</v>
      </c>
      <c r="O36" s="22" t="s">
        <v>80</v>
      </c>
      <c r="P36" s="12" t="n">
        <f aca="false">T15</f>
        <v>0.886075949367089</v>
      </c>
      <c r="Q36" s="12" t="n">
        <f aca="false">T23</f>
        <v>0.844827586206897</v>
      </c>
    </row>
    <row r="37" customFormat="false" ht="15" hidden="false" customHeight="false" outlineLevel="0" collapsed="false">
      <c r="A37" s="24" t="s">
        <v>168</v>
      </c>
      <c r="B37" s="25" t="s">
        <v>157</v>
      </c>
      <c r="C37" s="24" t="s">
        <v>164</v>
      </c>
      <c r="D37" s="25" t="s">
        <v>165</v>
      </c>
      <c r="E37" s="26" t="n">
        <v>0</v>
      </c>
      <c r="F37" s="26" t="n">
        <v>1</v>
      </c>
      <c r="G37" s="26" t="n">
        <v>1</v>
      </c>
      <c r="H37" s="26" t="n">
        <v>1</v>
      </c>
      <c r="I37" s="26" t="n">
        <v>1</v>
      </c>
      <c r="J37" s="26" t="n">
        <v>1</v>
      </c>
      <c r="K37" s="24" t="n">
        <f aca="false">MIN(F37:J37)</f>
        <v>1</v>
      </c>
      <c r="L37" s="24" t="n">
        <f aca="false">MAX(F37:J37)</f>
        <v>1</v>
      </c>
      <c r="M37" s="24" t="n">
        <f aca="false">L37-K37</f>
        <v>0</v>
      </c>
      <c r="O37" s="22" t="s">
        <v>81</v>
      </c>
      <c r="P37" s="12" t="n">
        <f aca="false">T16</f>
        <v>0.958904109589041</v>
      </c>
      <c r="Q37" s="12" t="n">
        <f aca="false">T24</f>
        <v>0.942307692307692</v>
      </c>
    </row>
    <row r="38" customFormat="false" ht="15" hidden="false" customHeight="false" outlineLevel="0" collapsed="false">
      <c r="A38" s="24" t="s">
        <v>169</v>
      </c>
      <c r="B38" s="25" t="s">
        <v>127</v>
      </c>
      <c r="C38" s="24" t="s">
        <v>164</v>
      </c>
      <c r="D38" s="25" t="s">
        <v>165</v>
      </c>
      <c r="E38" s="26" t="n">
        <v>0</v>
      </c>
      <c r="F38" s="26" t="n">
        <v>1</v>
      </c>
      <c r="G38" s="26" t="n">
        <v>1</v>
      </c>
      <c r="H38" s="26" t="n">
        <v>1</v>
      </c>
      <c r="I38" s="26" t="n">
        <v>1</v>
      </c>
      <c r="J38" s="26" t="n">
        <v>1</v>
      </c>
      <c r="K38" s="24" t="n">
        <f aca="false">MIN(F38:J38)</f>
        <v>1</v>
      </c>
      <c r="L38" s="24" t="n">
        <f aca="false">MAX(F38:J38)</f>
        <v>1</v>
      </c>
      <c r="M38" s="24" t="n">
        <f aca="false">L38-K38</f>
        <v>0</v>
      </c>
    </row>
    <row r="39" customFormat="false" ht="15" hidden="false" customHeight="false" outlineLevel="0" collapsed="false">
      <c r="A39" s="24" t="s">
        <v>170</v>
      </c>
      <c r="B39" s="25" t="s">
        <v>136</v>
      </c>
      <c r="C39" s="24" t="s">
        <v>164</v>
      </c>
      <c r="D39" s="25" t="s">
        <v>165</v>
      </c>
      <c r="E39" s="26" t="n">
        <v>0</v>
      </c>
      <c r="F39" s="26" t="n">
        <v>1</v>
      </c>
      <c r="G39" s="26" t="n">
        <v>1</v>
      </c>
      <c r="H39" s="26" t="n">
        <v>1</v>
      </c>
      <c r="I39" s="26" t="n">
        <v>1</v>
      </c>
      <c r="J39" s="26" t="n">
        <v>1</v>
      </c>
      <c r="K39" s="24" t="n">
        <f aca="false">MIN(F39:J39)</f>
        <v>1</v>
      </c>
      <c r="L39" s="24" t="n">
        <f aca="false">MAX(F39:J39)</f>
        <v>1</v>
      </c>
      <c r="M39" s="24" t="n">
        <f aca="false">L39-K39</f>
        <v>0</v>
      </c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A40" s="24" t="s">
        <v>174</v>
      </c>
      <c r="B40" s="25" t="s">
        <v>129</v>
      </c>
      <c r="C40" s="24" t="s">
        <v>164</v>
      </c>
      <c r="D40" s="25" t="s">
        <v>165</v>
      </c>
      <c r="E40" s="26" t="n">
        <v>0</v>
      </c>
      <c r="F40" s="26" t="n">
        <v>1</v>
      </c>
      <c r="G40" s="26" t="n">
        <v>1</v>
      </c>
      <c r="H40" s="26" t="n">
        <v>1</v>
      </c>
      <c r="I40" s="26" t="n">
        <v>1</v>
      </c>
      <c r="J40" s="26" t="n">
        <v>1</v>
      </c>
      <c r="K40" s="24" t="n">
        <f aca="false">MIN(F40:J40)</f>
        <v>1</v>
      </c>
      <c r="L40" s="24" t="n">
        <f aca="false">MAX(F40:J40)</f>
        <v>1</v>
      </c>
      <c r="M40" s="24" t="n">
        <f aca="false">L40-K40</f>
        <v>0</v>
      </c>
      <c r="O40" s="8" t="s">
        <v>175</v>
      </c>
      <c r="P40" s="12" t="n">
        <f aca="false">AVERAGE(P28:P37)</f>
        <v>0.938028985242715</v>
      </c>
      <c r="Q40" s="12" t="n">
        <f aca="false">AVERAGE(Q28:Q37)</f>
        <v>0.914951772365565</v>
      </c>
    </row>
    <row r="41" customFormat="false" ht="15" hidden="false" customHeight="false" outlineLevel="0" collapsed="false">
      <c r="A41" s="24" t="s">
        <v>176</v>
      </c>
      <c r="B41" s="25" t="s">
        <v>162</v>
      </c>
      <c r="C41" s="24" t="s">
        <v>164</v>
      </c>
      <c r="D41" s="25" t="s">
        <v>165</v>
      </c>
      <c r="E41" s="26" t="n">
        <v>0</v>
      </c>
      <c r="F41" s="26" t="n">
        <v>1</v>
      </c>
      <c r="G41" s="26" t="n">
        <v>1</v>
      </c>
      <c r="H41" s="26" t="n">
        <v>1</v>
      </c>
      <c r="I41" s="26" t="n">
        <v>1</v>
      </c>
      <c r="J41" s="26" t="n">
        <v>1</v>
      </c>
      <c r="K41" s="24" t="n">
        <f aca="false">MIN(F41:J41)</f>
        <v>1</v>
      </c>
      <c r="L41" s="24" t="n">
        <f aca="false">MAX(F41:J41)</f>
        <v>1</v>
      </c>
      <c r="M41" s="24" t="n">
        <f aca="false">L41-K41</f>
        <v>0</v>
      </c>
      <c r="O41" s="8" t="s">
        <v>177</v>
      </c>
      <c r="P41" s="12" t="n">
        <f aca="false">STDEV(P28:P37)</f>
        <v>0.0482112646908858</v>
      </c>
      <c r="Q41" s="12" t="n">
        <f aca="false">STDEV(Q28:Q37)</f>
        <v>0.0657725926332164</v>
      </c>
    </row>
    <row r="42" customFormat="false" ht="15" hidden="false" customHeight="false" outlineLevel="0" collapsed="false">
      <c r="D42" s="29" t="s">
        <v>178</v>
      </c>
      <c r="F42" s="13" t="n">
        <f aca="false">SUM(F5:F41)</f>
        <v>76</v>
      </c>
      <c r="G42" s="13" t="n">
        <f aca="false">SUM(G5:G41)</f>
        <v>76</v>
      </c>
      <c r="H42" s="13" t="n">
        <f aca="false">SUM(H5:H41)</f>
        <v>76</v>
      </c>
      <c r="I42" s="13" t="n">
        <f aca="false">SUM(I5:I41)</f>
        <v>70</v>
      </c>
      <c r="J42" s="13" t="n">
        <f aca="false">SUM(J5:J41)</f>
        <v>73</v>
      </c>
      <c r="K42" s="13" t="n">
        <f aca="false">SUM(K5:K41)</f>
        <v>70</v>
      </c>
      <c r="L42" s="13" t="n">
        <f aca="false">SUM(L5:L41)</f>
        <v>79</v>
      </c>
      <c r="O42" s="8" t="s">
        <v>179</v>
      </c>
      <c r="P42" s="12" t="n">
        <f aca="false">MIN(P28:P37)</f>
        <v>0.886075949367089</v>
      </c>
      <c r="Q42" s="12" t="n">
        <f aca="false">MIN(Q28:Q37)</f>
        <v>0.844827586206897</v>
      </c>
    </row>
    <row r="43" customFormat="false" ht="15" hidden="false" customHeight="false" outlineLevel="0" collapsed="false">
      <c r="D43" s="29" t="s">
        <v>180</v>
      </c>
      <c r="F43" s="13" t="n">
        <f aca="false">SUMPRODUCT($E$5:$E$41,F5:F41)</f>
        <v>55</v>
      </c>
      <c r="G43" s="13" t="n">
        <f aca="false">SUMPRODUCT($E$5:$E$41,G5:G41)</f>
        <v>55</v>
      </c>
      <c r="H43" s="13" t="n">
        <f aca="false">SUMPRODUCT($E$5:$E$41,H5:H41)</f>
        <v>55</v>
      </c>
      <c r="I43" s="13" t="n">
        <f aca="false">SUMPRODUCT($E$5:$E$41,I5:I41)</f>
        <v>49</v>
      </c>
      <c r="J43" s="13" t="n">
        <f aca="false">SUMPRODUCT($E$5:$E$41,J5:J41)</f>
        <v>52</v>
      </c>
      <c r="K43" s="13" t="n">
        <f aca="false">SUMPRODUCT($E$5:$E$41,K5:K41)</f>
        <v>49</v>
      </c>
      <c r="L43" s="13" t="n">
        <f aca="false">SUMPRODUCT($E$5:$E$41,L5:L41)</f>
        <v>58</v>
      </c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D44" s="29" t="s">
        <v>182</v>
      </c>
      <c r="F44" s="13" t="n">
        <f aca="false">COUNTIF(F5:F41,"&gt;0")</f>
        <v>34</v>
      </c>
      <c r="G44" s="13" t="n">
        <f aca="false">COUNTIF(G5:G41,"&gt;0")</f>
        <v>34</v>
      </c>
      <c r="H44" s="13" t="n">
        <f aca="false">COUNTIF(H5:H41,"&gt;0")</f>
        <v>34</v>
      </c>
      <c r="I44" s="13" t="n">
        <f aca="false">COUNTIF(I5:I41,"&gt;0")</f>
        <v>34</v>
      </c>
      <c r="J44" s="13" t="n">
        <f aca="false">COUNTIF(J5:J41,"&gt;0")</f>
        <v>37</v>
      </c>
      <c r="O44" s="8" t="s">
        <v>183</v>
      </c>
      <c r="P44" s="12" t="n">
        <f aca="false">K42/L42</f>
        <v>0.886075949367089</v>
      </c>
      <c r="Q44" s="12" t="n">
        <f aca="false">K43/L43</f>
        <v>0.844827586206897</v>
      </c>
    </row>
    <row r="45" customFormat="false" ht="15" hidden="false" customHeight="false" outlineLevel="0" collapsed="false">
      <c r="D45" s="29" t="s">
        <v>184</v>
      </c>
      <c r="F45" s="13" t="n">
        <f aca="false">COUNTIFS(F5:F41,"&gt;0",$E$5:$E$41,1)</f>
        <v>13</v>
      </c>
      <c r="G45" s="13" t="n">
        <f aca="false">COUNTIFS(G5:G41,"&gt;0",$E$5:$E$41,1)</f>
        <v>13</v>
      </c>
      <c r="H45" s="13" t="n">
        <f aca="false">COUNTIFS(H5:H41,"&gt;0",$E$5:$E$41,1)</f>
        <v>13</v>
      </c>
      <c r="I45" s="13" t="n">
        <f aca="false">COUNTIFS(I5:I41,"&gt;0",$E$5:$E$41,1)</f>
        <v>13</v>
      </c>
      <c r="J45" s="13" t="n">
        <f aca="false">COUNTIFS(J5:J41,"&gt;0",$E$5:$E$41,1)</f>
        <v>16</v>
      </c>
      <c r="O45" s="8" t="s">
        <v>185</v>
      </c>
      <c r="P45" s="30" t="n">
        <f aca="false">AVERAGE(F44:J44)</f>
        <v>34.6</v>
      </c>
      <c r="Q45" s="30" t="n">
        <f aca="false">AVERAGE(F45:J45)</f>
        <v>13.6</v>
      </c>
    </row>
    <row r="46" customFormat="false" ht="15" hidden="false" customHeight="false" outlineLevel="0" collapsed="false">
      <c r="O46" s="8" t="s">
        <v>186</v>
      </c>
      <c r="P46" s="30" t="n">
        <f aca="false">AVERAGE(F42:J42)</f>
        <v>74.2</v>
      </c>
      <c r="Q46" s="30" t="n">
        <f aca="false">AVERAGE(F43:J43)</f>
        <v>53.2</v>
      </c>
    </row>
  </sheetData>
  <conditionalFormatting sqref="A5:M41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187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15" hidden="false" customHeight="false" outlineLevel="0" collapsed="false">
      <c r="A5" s="24" t="s">
        <v>99</v>
      </c>
      <c r="B5" s="25" t="s">
        <v>100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188</v>
      </c>
    </row>
    <row r="6" customFormat="false" ht="35.05" hidden="false" customHeight="false" outlineLevel="0" collapsed="false">
      <c r="A6" s="24" t="s">
        <v>104</v>
      </c>
      <c r="B6" s="25" t="s">
        <v>109</v>
      </c>
      <c r="C6" s="24" t="s">
        <v>101</v>
      </c>
      <c r="D6" s="25" t="s">
        <v>110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189</v>
      </c>
    </row>
    <row r="7" customFormat="false" ht="15" hidden="false" customHeight="false" outlineLevel="0" collapsed="false">
      <c r="A7" s="24" t="s">
        <v>108</v>
      </c>
      <c r="B7" s="25" t="s">
        <v>109</v>
      </c>
      <c r="C7" s="24" t="s">
        <v>101</v>
      </c>
      <c r="D7" s="25" t="s">
        <v>113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190</v>
      </c>
    </row>
    <row r="8" customFormat="false" ht="15" hidden="false" customHeight="false" outlineLevel="0" collapsed="false">
      <c r="A8" s="24" t="s">
        <v>112</v>
      </c>
      <c r="B8" s="25" t="s">
        <v>116</v>
      </c>
      <c r="C8" s="24" t="s">
        <v>101</v>
      </c>
      <c r="D8" s="25" t="s">
        <v>117</v>
      </c>
      <c r="E8" s="26" t="n">
        <v>1</v>
      </c>
      <c r="F8" s="26" t="n">
        <v>2</v>
      </c>
      <c r="G8" s="26" t="n">
        <v>2</v>
      </c>
      <c r="H8" s="26" t="n">
        <v>2</v>
      </c>
      <c r="I8" s="26" t="n">
        <v>1</v>
      </c>
      <c r="J8" s="26" t="n">
        <v>2</v>
      </c>
      <c r="K8" s="24" t="n">
        <f aca="false">MIN(F8:J8)</f>
        <v>1</v>
      </c>
      <c r="L8" s="24" t="n">
        <f aca="false">MAX(F8:J8)</f>
        <v>2</v>
      </c>
      <c r="M8" s="24" t="n">
        <f aca="false">L8-K8</f>
        <v>1</v>
      </c>
      <c r="O8" s="8" t="s">
        <v>92</v>
      </c>
      <c r="P8" s="22" t="s">
        <v>191</v>
      </c>
    </row>
    <row r="9" customFormat="false" ht="15" hidden="false" customHeight="false" outlineLevel="0" collapsed="false">
      <c r="A9" s="24" t="s">
        <v>115</v>
      </c>
      <c r="B9" s="25" t="s">
        <v>120</v>
      </c>
      <c r="C9" s="24" t="s">
        <v>101</v>
      </c>
      <c r="D9" s="25" t="s">
        <v>121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4" t="n">
        <f aca="false">MIN(F9:J9)</f>
        <v>1</v>
      </c>
      <c r="L9" s="24" t="n">
        <f aca="false">MAX(F9:J9)</f>
        <v>1</v>
      </c>
      <c r="M9" s="24" t="n">
        <f aca="false">L9-K9</f>
        <v>0</v>
      </c>
      <c r="O9" s="8" t="s">
        <v>93</v>
      </c>
      <c r="P9" s="22" t="s">
        <v>192</v>
      </c>
    </row>
    <row r="10" customFormat="false" ht="15" hidden="false" customHeight="false" outlineLevel="0" collapsed="false">
      <c r="A10" s="24" t="s">
        <v>119</v>
      </c>
      <c r="B10" s="25" t="s">
        <v>109</v>
      </c>
      <c r="C10" s="24" t="s">
        <v>136</v>
      </c>
      <c r="D10" s="25" t="s">
        <v>116</v>
      </c>
      <c r="E10" s="26" t="n">
        <v>1</v>
      </c>
      <c r="F10" s="26" t="n">
        <v>2</v>
      </c>
      <c r="G10" s="26" t="n">
        <v>2</v>
      </c>
      <c r="H10" s="26" t="n">
        <v>2</v>
      </c>
      <c r="I10" s="26" t="n">
        <v>1</v>
      </c>
      <c r="J10" s="26" t="n">
        <v>2</v>
      </c>
      <c r="K10" s="24" t="n">
        <f aca="false">MIN(F10:J10)</f>
        <v>1</v>
      </c>
      <c r="L10" s="24" t="n">
        <f aca="false">MAX(F10:J10)</f>
        <v>2</v>
      </c>
      <c r="M10" s="24" t="n">
        <f aca="false">L10-K10</f>
        <v>1</v>
      </c>
    </row>
    <row r="11" customFormat="false" ht="15" hidden="false" customHeight="false" outlineLevel="0" collapsed="false">
      <c r="A11" s="24" t="s">
        <v>122</v>
      </c>
      <c r="B11" s="25" t="s">
        <v>116</v>
      </c>
      <c r="C11" s="24" t="s">
        <v>138</v>
      </c>
      <c r="D11" s="25" t="s">
        <v>139</v>
      </c>
      <c r="E11" s="26" t="n">
        <v>1</v>
      </c>
      <c r="F11" s="26" t="n">
        <v>2</v>
      </c>
      <c r="G11" s="26" t="n">
        <v>2</v>
      </c>
      <c r="H11" s="26" t="n">
        <v>2</v>
      </c>
      <c r="I11" s="26" t="n">
        <v>1</v>
      </c>
      <c r="J11" s="26" t="n">
        <v>2</v>
      </c>
      <c r="K11" s="24" t="n">
        <f aca="false">MIN(F11:J11)</f>
        <v>1</v>
      </c>
      <c r="L11" s="24" t="n">
        <f aca="false">MAX(F11:J11)</f>
        <v>2</v>
      </c>
      <c r="M11" s="24" t="n">
        <f aca="false">L11-K11</f>
        <v>1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116</v>
      </c>
      <c r="C12" s="24" t="s">
        <v>124</v>
      </c>
      <c r="D12" s="25" t="s">
        <v>120</v>
      </c>
      <c r="E12" s="26" t="n">
        <v>1</v>
      </c>
      <c r="F12" s="26" t="n">
        <v>2</v>
      </c>
      <c r="G12" s="26" t="n">
        <v>2</v>
      </c>
      <c r="H12" s="26" t="n">
        <v>2</v>
      </c>
      <c r="I12" s="26" t="n">
        <v>1</v>
      </c>
      <c r="J12" s="26" t="n">
        <v>2</v>
      </c>
      <c r="K12" s="24" t="n">
        <f aca="false">MIN(F12:J12)</f>
        <v>1</v>
      </c>
      <c r="L12" s="24" t="n">
        <f aca="false">MAX(F12:J12)</f>
        <v>2</v>
      </c>
      <c r="M12" s="24" t="n">
        <f aca="false">L12-K12</f>
        <v>1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116</v>
      </c>
      <c r="C13" s="24" t="s">
        <v>127</v>
      </c>
      <c r="D13" s="25" t="s">
        <v>100</v>
      </c>
      <c r="E13" s="26" t="n">
        <v>1</v>
      </c>
      <c r="F13" s="26" t="n">
        <v>2</v>
      </c>
      <c r="G13" s="26" t="n">
        <v>2</v>
      </c>
      <c r="H13" s="26" t="n">
        <v>2</v>
      </c>
      <c r="I13" s="26" t="n">
        <v>1</v>
      </c>
      <c r="J13" s="26" t="n">
        <v>2</v>
      </c>
      <c r="K13" s="24" t="n">
        <f aca="false">MIN(F13:J13)</f>
        <v>1</v>
      </c>
      <c r="L13" s="24" t="n">
        <f aca="false">MAX(F13:J13)</f>
        <v>2</v>
      </c>
      <c r="M13" s="24" t="n">
        <f aca="false">L13-K13</f>
        <v>1</v>
      </c>
      <c r="O13" s="27" t="s">
        <v>89</v>
      </c>
      <c r="P13" s="28" t="n">
        <f aca="false">SUMPRODUCT((($F$5:$F$32&lt;$F$5:$F$32)*$F$5:$F$32+($F$5:$F$32&gt;=$F$5:$F$32)*$F$5:$F$32))/SUMPRODUCT((($F$5:$F$32&gt;$F$5:$F$32)*$F$5:$F$32+($F$5:$F$32&lt;=$F$5:$F$32)*$F$5:$F$32))</f>
        <v>1</v>
      </c>
      <c r="Q13" s="28" t="n">
        <f aca="false">SUMPRODUCT((($F$5:$F$32&lt;$G$5:$G$32)*$F$5:$F$32+($F$5:$F$32&gt;=$G$5:$G$32)*$G$5:$G$32))/SUMPRODUCT((($F$5:$F$32&gt;$G$5:$G$32)*$F$5:$F$32+($F$5:$F$32&lt;=$G$5:$G$32)*$G$5:$G$32))</f>
        <v>1</v>
      </c>
      <c r="R13" s="28" t="n">
        <f aca="false">SUMPRODUCT((($F$5:$F$32&lt;$H$5:$H$32)*$F$5:$F$32+($F$5:$F$32&gt;=$H$5:$H$32)*$H$5:$H$32))/SUMPRODUCT((($F$5:$F$32&gt;$H$5:$H$32)*$F$5:$F$32+($F$5:$F$32&lt;=$H$5:$H$32)*$H$5:$H$32))</f>
        <v>1</v>
      </c>
      <c r="S13" s="28" t="n">
        <f aca="false">SUMPRODUCT((($F$5:$F$32&lt;$I$5:$I$32)*$F$5:$F$32+($F$5:$F$32&gt;=$I$5:$I$32)*$I$5:$I$32))/SUMPRODUCT((($F$5:$F$32&gt;$I$5:$I$32)*$F$5:$F$32+($F$5:$F$32&lt;=$I$5:$I$32)*$I$5:$I$32))</f>
        <v>0.823529411764706</v>
      </c>
      <c r="T13" s="28" t="n">
        <f aca="false">SUMPRODUCT((($F$5:$F$32&lt;$J$5:$J$32)*$F$5:$F$32+($F$5:$F$32&gt;=$J$5:$J$32)*$J$5:$J$32))/SUMPRODUCT((($F$5:$F$32&gt;$J$5:$J$32)*$F$5:$F$32+($F$5:$F$32&lt;=$J$5:$J$32)*$J$5:$J$32))</f>
        <v>1</v>
      </c>
    </row>
    <row r="14" customFormat="false" ht="15" hidden="false" customHeight="false" outlineLevel="0" collapsed="false">
      <c r="A14" s="24" t="s">
        <v>130</v>
      </c>
      <c r="B14" s="25" t="s">
        <v>116</v>
      </c>
      <c r="C14" s="24" t="s">
        <v>129</v>
      </c>
      <c r="D14" s="25" t="s">
        <v>120</v>
      </c>
      <c r="E14" s="26" t="n">
        <v>1</v>
      </c>
      <c r="F14" s="26" t="n">
        <v>2</v>
      </c>
      <c r="G14" s="26" t="n">
        <v>2</v>
      </c>
      <c r="H14" s="26" t="n">
        <v>2</v>
      </c>
      <c r="I14" s="26" t="n">
        <v>1</v>
      </c>
      <c r="J14" s="26" t="n">
        <v>2</v>
      </c>
      <c r="K14" s="24" t="n">
        <f aca="false">MIN(F14:J14)</f>
        <v>1</v>
      </c>
      <c r="L14" s="24" t="n">
        <f aca="false">MAX(F14:J14)</f>
        <v>2</v>
      </c>
      <c r="M14" s="24" t="n">
        <f aca="false">L14-K14</f>
        <v>1</v>
      </c>
      <c r="O14" s="27" t="s">
        <v>90</v>
      </c>
      <c r="P14" s="28" t="n">
        <f aca="false">SUMPRODUCT((($G$5:$G$32&lt;$F$5:$F$32)*$G$5:$G$32+($G$5:$G$32&gt;=$F$5:$F$32)*$F$5:$F$32))/SUMPRODUCT((($G$5:$G$32&gt;$F$5:$F$32)*$G$5:$G$32+($G$5:$G$32&lt;=$F$5:$F$32)*$F$5:$F$32))</f>
        <v>1</v>
      </c>
      <c r="Q14" s="28" t="n">
        <f aca="false">SUMPRODUCT((($G$5:$G$32&lt;$G$5:$G$32)*$G$5:$G$32+($G$5:$G$32&gt;=$G$5:$G$32)*$G$5:$G$32))/SUMPRODUCT((($G$5:$G$32&gt;$G$5:$G$32)*$G$5:$G$32+($G$5:$G$32&lt;=$G$5:$G$32)*$G$5:$G$32))</f>
        <v>1</v>
      </c>
      <c r="R14" s="28" t="n">
        <f aca="false">SUMPRODUCT((($G$5:$G$32&lt;$H$5:$H$32)*$G$5:$G$32+($G$5:$G$32&gt;=$H$5:$H$32)*$H$5:$H$32))/SUMPRODUCT((($G$5:$G$32&gt;$H$5:$H$32)*$G$5:$G$32+($G$5:$G$32&lt;=$H$5:$H$32)*$H$5:$H$32))</f>
        <v>1</v>
      </c>
      <c r="S14" s="28" t="n">
        <f aca="false">SUMPRODUCT((($G$5:$G$32&lt;$I$5:$I$32)*$G$5:$G$32+($G$5:$G$32&gt;=$I$5:$I$32)*$I$5:$I$32))/SUMPRODUCT((($G$5:$G$32&gt;$I$5:$I$32)*$G$5:$G$32+($G$5:$G$32&lt;=$I$5:$I$32)*$I$5:$I$32))</f>
        <v>0.823529411764706</v>
      </c>
      <c r="T14" s="28" t="n">
        <f aca="false">SUMPRODUCT((($G$5:$G$32&lt;$J$5:$J$32)*$G$5:$G$32+($G$5:$G$32&gt;=$J$5:$J$32)*$J$5:$J$32))/SUMPRODUCT((($G$5:$G$32&gt;$J$5:$J$32)*$G$5:$G$32+($G$5:$G$32&lt;=$J$5:$J$32)*$J$5:$J$32))</f>
        <v>1</v>
      </c>
    </row>
    <row r="15" customFormat="false" ht="15" hidden="false" customHeight="false" outlineLevel="0" collapsed="false">
      <c r="A15" s="24" t="s">
        <v>132</v>
      </c>
      <c r="B15" s="25" t="s">
        <v>102</v>
      </c>
      <c r="C15" s="24" t="s">
        <v>101</v>
      </c>
      <c r="D15" s="25" t="s">
        <v>145</v>
      </c>
      <c r="E15" s="26" t="n">
        <v>0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4" t="n">
        <f aca="false">MIN(F15:J15)</f>
        <v>1</v>
      </c>
      <c r="L15" s="24" t="n">
        <f aca="false">MAX(F15:J15)</f>
        <v>1</v>
      </c>
      <c r="M15" s="24" t="n">
        <f aca="false">L15-K15</f>
        <v>0</v>
      </c>
      <c r="O15" s="27" t="s">
        <v>91</v>
      </c>
      <c r="P15" s="28" t="n">
        <f aca="false">SUMPRODUCT((($H$5:$H$32&lt;$F$5:$F$32)*$H$5:$H$32+($H$5:$H$32&gt;=$F$5:$F$32)*$F$5:$F$32))/SUMPRODUCT((($H$5:$H$32&gt;$F$5:$F$32)*$H$5:$H$32+($H$5:$H$32&lt;=$F$5:$F$32)*$F$5:$F$32))</f>
        <v>1</v>
      </c>
      <c r="Q15" s="28" t="n">
        <f aca="false">SUMPRODUCT((($H$5:$H$32&lt;$G$5:$G$32)*$H$5:$H$32+($H$5:$H$32&gt;=$G$5:$G$32)*$G$5:$G$32))/SUMPRODUCT((($H$5:$H$32&gt;$G$5:$G$32)*$H$5:$H$32+($H$5:$H$32&lt;=$G$5:$G$32)*$G$5:$G$32))</f>
        <v>1</v>
      </c>
      <c r="R15" s="28" t="n">
        <f aca="false">SUMPRODUCT((($H$5:$H$32&lt;$H$5:$H$32)*$H$5:$H$32+($H$5:$H$32&gt;=$H$5:$H$32)*$H$5:$H$32))/SUMPRODUCT((($H$5:$H$32&gt;$H$5:$H$32)*$H$5:$H$32+($H$5:$H$32&lt;=$H$5:$H$32)*$H$5:$H$32))</f>
        <v>1</v>
      </c>
      <c r="S15" s="28" t="n">
        <f aca="false">SUMPRODUCT((($H$5:$H$32&lt;$I$5:$I$32)*$H$5:$H$32+($H$5:$H$32&gt;=$I$5:$I$32)*$I$5:$I$32))/SUMPRODUCT((($H$5:$H$32&gt;$I$5:$I$32)*$H$5:$H$32+($H$5:$H$32&lt;=$I$5:$I$32)*$I$5:$I$32))</f>
        <v>0.823529411764706</v>
      </c>
      <c r="T15" s="28" t="n">
        <f aca="false">SUMPRODUCT((($H$5:$H$32&lt;$J$5:$J$32)*$H$5:$H$32+($H$5:$H$32&gt;=$J$5:$J$32)*$J$5:$J$32))/SUMPRODUCT((($H$5:$H$32&gt;$J$5:$J$32)*$H$5:$H$32+($H$5:$H$32&lt;=$J$5:$J$32)*$J$5:$J$32))</f>
        <v>1</v>
      </c>
    </row>
    <row r="16" customFormat="false" ht="15" hidden="false" customHeight="false" outlineLevel="0" collapsed="false">
      <c r="A16" s="24" t="s">
        <v>135</v>
      </c>
      <c r="B16" s="25" t="s">
        <v>113</v>
      </c>
      <c r="C16" s="24" t="s">
        <v>101</v>
      </c>
      <c r="D16" s="25" t="s">
        <v>145</v>
      </c>
      <c r="E16" s="26" t="n">
        <v>0</v>
      </c>
      <c r="F16" s="26" t="n">
        <v>1</v>
      </c>
      <c r="G16" s="26" t="n">
        <v>1</v>
      </c>
      <c r="H16" s="26" t="n">
        <v>1</v>
      </c>
      <c r="I16" s="26" t="n">
        <v>1</v>
      </c>
      <c r="J16" s="26" t="n">
        <v>1</v>
      </c>
      <c r="K16" s="24" t="n">
        <f aca="false">MIN(F16:J16)</f>
        <v>1</v>
      </c>
      <c r="L16" s="24" t="n">
        <f aca="false">MAX(F16:J16)</f>
        <v>1</v>
      </c>
      <c r="M16" s="24" t="n">
        <f aca="false">L16-K16</f>
        <v>0</v>
      </c>
      <c r="O16" s="27" t="s">
        <v>92</v>
      </c>
      <c r="P16" s="28" t="n">
        <f aca="false">SUMPRODUCT((($I$5:$I$32&lt;$F$5:$F$32)*$I$5:$I$32+($I$5:$I$32&gt;=$F$5:$F$32)*$F$5:$F$32))/SUMPRODUCT((($I$5:$I$32&gt;$F$5:$F$32)*$I$5:$I$32+($I$5:$I$32&lt;=$F$5:$F$32)*$F$5:$F$32))</f>
        <v>0.823529411764706</v>
      </c>
      <c r="Q16" s="28" t="n">
        <f aca="false">SUMPRODUCT((($I$5:$I$32&lt;$G$5:$G$32)*$I$5:$I$32+($I$5:$I$32&gt;=$G$5:$G$32)*$G$5:$G$32))/SUMPRODUCT((($I$5:$I$32&gt;$G$5:$G$32)*$I$5:$I$32+($I$5:$I$32&lt;=$G$5:$G$32)*$G$5:$G$32))</f>
        <v>0.823529411764706</v>
      </c>
      <c r="R16" s="28" t="n">
        <f aca="false">SUMPRODUCT((($I$5:$I$32&lt;$H$5:$H$32)*$I$5:$I$32+($I$5:$I$32&gt;=$H$5:$H$32)*$H$5:$H$32))/SUMPRODUCT((($I$5:$I$32&gt;$H$5:$H$32)*$I$5:$I$32+($I$5:$I$32&lt;=$H$5:$H$32)*$H$5:$H$32))</f>
        <v>0.823529411764706</v>
      </c>
      <c r="S16" s="28" t="n">
        <f aca="false">SUMPRODUCT((($I$5:$I$32&lt;$I$5:$I$32)*$I$5:$I$32+($I$5:$I$32&gt;=$I$5:$I$32)*$I$5:$I$32))/SUMPRODUCT((($I$5:$I$32&gt;$I$5:$I$32)*$I$5:$I$32+($I$5:$I$32&lt;=$I$5:$I$32)*$I$5:$I$32))</f>
        <v>1</v>
      </c>
      <c r="T16" s="28" t="n">
        <f aca="false">SUMPRODUCT((($I$5:$I$32&lt;$J$5:$J$32)*$I$5:$I$32+($I$5:$I$32&gt;=$J$5:$J$32)*$J$5:$J$32))/SUMPRODUCT((($I$5:$I$32&gt;$J$5:$J$32)*$I$5:$I$32+($I$5:$I$32&lt;=$J$5:$J$32)*$J$5:$J$32))</f>
        <v>0.823529411764706</v>
      </c>
    </row>
    <row r="17" customFormat="false" ht="15" hidden="false" customHeight="false" outlineLevel="0" collapsed="false">
      <c r="A17" s="24" t="s">
        <v>137</v>
      </c>
      <c r="B17" s="25" t="s">
        <v>117</v>
      </c>
      <c r="C17" s="24" t="s">
        <v>101</v>
      </c>
      <c r="D17" s="25" t="s">
        <v>145</v>
      </c>
      <c r="E17" s="26" t="n">
        <v>0</v>
      </c>
      <c r="F17" s="26" t="n">
        <v>1</v>
      </c>
      <c r="G17" s="26" t="n">
        <v>1</v>
      </c>
      <c r="H17" s="26" t="n">
        <v>1</v>
      </c>
      <c r="I17" s="26" t="n">
        <v>1</v>
      </c>
      <c r="J17" s="26" t="n">
        <v>1</v>
      </c>
      <c r="K17" s="24" t="n">
        <f aca="false">MIN(F17:J17)</f>
        <v>1</v>
      </c>
      <c r="L17" s="24" t="n">
        <f aca="false">MAX(F17:J17)</f>
        <v>1</v>
      </c>
      <c r="M17" s="24" t="n">
        <f aca="false">L17-K17</f>
        <v>0</v>
      </c>
      <c r="O17" s="27" t="s">
        <v>93</v>
      </c>
      <c r="P17" s="28" t="n">
        <f aca="false">SUMPRODUCT((($J$5:$J$32&lt;$F$5:$F$32)*$J$5:$J$32+($J$5:$J$32&gt;=$F$5:$F$32)*$F$5:$F$32))/SUMPRODUCT((($J$5:$J$32&gt;$F$5:$F$32)*$J$5:$J$32+($J$5:$J$32&lt;=$F$5:$F$32)*$F$5:$F$32))</f>
        <v>1</v>
      </c>
      <c r="Q17" s="28" t="n">
        <f aca="false">SUMPRODUCT((($J$5:$J$32&lt;$G$5:$G$32)*$J$5:$J$32+($J$5:$J$32&gt;=$G$5:$G$32)*$G$5:$G$32))/SUMPRODUCT((($J$5:$J$32&gt;$G$5:$G$32)*$J$5:$J$32+($J$5:$J$32&lt;=$G$5:$G$32)*$G$5:$G$32))</f>
        <v>1</v>
      </c>
      <c r="R17" s="28" t="n">
        <f aca="false">SUMPRODUCT((($J$5:$J$32&lt;$H$5:$H$32)*$J$5:$J$32+($J$5:$J$32&gt;=$H$5:$H$32)*$H$5:$H$32))/SUMPRODUCT((($J$5:$J$32&gt;$H$5:$H$32)*$J$5:$J$32+($J$5:$J$32&lt;=$H$5:$H$32)*$H$5:$H$32))</f>
        <v>1</v>
      </c>
      <c r="S17" s="28" t="n">
        <f aca="false">SUMPRODUCT((($J$5:$J$32&lt;$I$5:$I$32)*$J$5:$J$32+($J$5:$J$32&gt;=$I$5:$I$32)*$I$5:$I$32))/SUMPRODUCT((($J$5:$J$32&gt;$I$5:$I$32)*$J$5:$J$32+($J$5:$J$32&lt;=$I$5:$I$32)*$I$5:$I$32))</f>
        <v>0.823529411764706</v>
      </c>
      <c r="T17" s="28" t="n">
        <f aca="false">SUMPRODUCT((($J$5:$J$32&lt;$J$5:$J$32)*$J$5:$J$32+($J$5:$J$32&gt;=$J$5:$J$32)*$J$5:$J$32))/SUMPRODUCT((($J$5:$J$32&gt;$J$5:$J$32)*$J$5:$J$32+($J$5:$J$32&lt;=$J$5:$J$32)*$J$5:$J$32))</f>
        <v>1</v>
      </c>
    </row>
    <row r="18" customFormat="false" ht="15" hidden="false" customHeight="false" outlineLevel="0" collapsed="false">
      <c r="A18" s="24" t="s">
        <v>140</v>
      </c>
      <c r="B18" s="25" t="s">
        <v>121</v>
      </c>
      <c r="C18" s="24" t="s">
        <v>101</v>
      </c>
      <c r="D18" s="25" t="s">
        <v>145</v>
      </c>
      <c r="E18" s="26" t="n">
        <v>0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4" t="n">
        <f aca="false">MIN(F18:J18)</f>
        <v>1</v>
      </c>
      <c r="L18" s="24" t="n">
        <f aca="false">MAX(F18:J18)</f>
        <v>1</v>
      </c>
      <c r="M18" s="24" t="n">
        <f aca="false">L18-K18</f>
        <v>0</v>
      </c>
    </row>
    <row r="19" customFormat="false" ht="15" hidden="false" customHeight="false" outlineLevel="0" collapsed="false">
      <c r="A19" s="24" t="s">
        <v>141</v>
      </c>
      <c r="B19" s="25" t="s">
        <v>124</v>
      </c>
      <c r="C19" s="24" t="s">
        <v>101</v>
      </c>
      <c r="D19" s="25" t="s">
        <v>151</v>
      </c>
      <c r="E19" s="26" t="n">
        <v>0</v>
      </c>
      <c r="F19" s="26" t="n">
        <v>1</v>
      </c>
      <c r="G19" s="26" t="n">
        <v>1</v>
      </c>
      <c r="H19" s="26" t="n">
        <v>1</v>
      </c>
      <c r="I19" s="26" t="n">
        <v>1</v>
      </c>
      <c r="J19" s="26" t="n">
        <v>1</v>
      </c>
      <c r="K19" s="24" t="n">
        <f aca="false">MIN(F19:J19)</f>
        <v>1</v>
      </c>
      <c r="L19" s="24" t="n">
        <f aca="false">MAX(F19:J19)</f>
        <v>1</v>
      </c>
      <c r="M19" s="24" t="n">
        <f aca="false">L19-K19</f>
        <v>0</v>
      </c>
      <c r="O19" s="17" t="s">
        <v>142</v>
      </c>
    </row>
    <row r="20" customFormat="false" ht="15" hidden="false" customHeight="false" outlineLevel="0" collapsed="false">
      <c r="A20" s="24" t="s">
        <v>143</v>
      </c>
      <c r="B20" s="25" t="s">
        <v>154</v>
      </c>
      <c r="C20" s="24" t="s">
        <v>101</v>
      </c>
      <c r="D20" s="25" t="s">
        <v>155</v>
      </c>
      <c r="E20" s="26" t="n">
        <v>0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4" t="n">
        <f aca="false">MIN(F20:J20)</f>
        <v>1</v>
      </c>
      <c r="L20" s="24" t="n">
        <f aca="false">MAX(F20:J20)</f>
        <v>1</v>
      </c>
      <c r="M20" s="24" t="n">
        <f aca="false">L20-K20</f>
        <v>0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157</v>
      </c>
      <c r="C21" s="24" t="s">
        <v>101</v>
      </c>
      <c r="D21" s="25" t="s">
        <v>155</v>
      </c>
      <c r="E21" s="26" t="n">
        <v>0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4" t="n">
        <f aca="false">MIN(F21:J21)</f>
        <v>1</v>
      </c>
      <c r="L21" s="24" t="n">
        <f aca="false">MAX(F21:J21)</f>
        <v>1</v>
      </c>
      <c r="M21" s="24" t="n">
        <f aca="false">L21-K21</f>
        <v>0</v>
      </c>
      <c r="O21" s="27" t="s">
        <v>89</v>
      </c>
      <c r="P21" s="28" t="n">
        <f aca="false">SUMPRODUCT($E$5:$E$32*(($F$5:$F$32&lt;$F$5:$F$32)*$F$5:$F$32+($F$5:$F$32&gt;=$F$5:$F$32)*$F$5:$F$32))/SUMPRODUCT($E$5:$E$32*(($F$5:$F$32&gt;$F$5:$F$32)*$F$5:$F$32+($F$5:$F$32&lt;=$F$5:$F$32)*$F$5:$F$32))</f>
        <v>1</v>
      </c>
      <c r="Q21" s="28" t="n">
        <f aca="false">SUMPRODUCT($E$5:$E$32*(($F$5:$F$32&lt;$G$5:$G$32)*$F$5:$F$32+($F$5:$F$32&gt;=$G$5:$G$32)*$G$5:$G$32))/SUMPRODUCT($E$5:$E$32*(($F$5:$F$32&gt;$G$5:$G$32)*$F$5:$F$32+($F$5:$F$32&lt;=$G$5:$G$32)*$G$5:$G$32))</f>
        <v>1</v>
      </c>
      <c r="R21" s="28" t="n">
        <f aca="false">SUMPRODUCT($E$5:$E$32*(($F$5:$F$32&lt;$H$5:$H$32)*$F$5:$F$32+($F$5:$F$32&gt;=$H$5:$H$32)*$H$5:$H$32))/SUMPRODUCT($E$5:$E$32*(($F$5:$F$32&gt;$H$5:$H$32)*$F$5:$F$32+($F$5:$F$32&lt;=$H$5:$H$32)*$H$5:$H$32))</f>
        <v>1</v>
      </c>
      <c r="S21" s="28" t="n">
        <f aca="false">SUMPRODUCT($E$5:$E$32*(($F$5:$F$32&lt;$I$5:$I$32)*$F$5:$F$32+($F$5:$F$32&gt;=$I$5:$I$32)*$I$5:$I$32))/SUMPRODUCT($E$5:$E$32*(($F$5:$F$32&gt;$I$5:$I$32)*$F$5:$F$32+($F$5:$F$32&lt;=$I$5:$I$32)*$I$5:$I$32))</f>
        <v>0.625</v>
      </c>
      <c r="T21" s="28" t="n">
        <f aca="false">SUMPRODUCT($E$5:$E$32*(($F$5:$F$32&lt;$J$5:$J$32)*$F$5:$F$32+($F$5:$F$32&gt;=$J$5:$J$32)*$J$5:$J$32))/SUMPRODUCT($E$5:$E$32*(($F$5:$F$32&gt;$J$5:$J$32)*$F$5:$F$32+($F$5:$F$32&lt;=$J$5:$J$32)*$J$5:$J$32))</f>
        <v>1</v>
      </c>
    </row>
    <row r="22" customFormat="false" ht="15" hidden="false" customHeight="false" outlineLevel="0" collapsed="false">
      <c r="A22" s="24" t="s">
        <v>146</v>
      </c>
      <c r="B22" s="25" t="s">
        <v>127</v>
      </c>
      <c r="C22" s="24" t="s">
        <v>101</v>
      </c>
      <c r="D22" s="25" t="s">
        <v>151</v>
      </c>
      <c r="E22" s="26" t="n">
        <v>0</v>
      </c>
      <c r="F22" s="26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4" t="n">
        <f aca="false">MIN(F22:J22)</f>
        <v>1</v>
      </c>
      <c r="L22" s="24" t="n">
        <f aca="false">MAX(F22:J22)</f>
        <v>1</v>
      </c>
      <c r="M22" s="24" t="n">
        <f aca="false">L22-K22</f>
        <v>0</v>
      </c>
      <c r="O22" s="27" t="s">
        <v>90</v>
      </c>
      <c r="P22" s="28" t="n">
        <f aca="false">SUMPRODUCT($E$5:$E$32*(($G$5:$G$32&lt;$F$5:$F$32)*$G$5:$G$32+($G$5:$G$32&gt;=$F$5:$F$32)*$F$5:$F$32))/SUMPRODUCT($E$5:$E$32*(($G$5:$G$32&gt;$F$5:$F$32)*$G$5:$G$32+($G$5:$G$32&lt;=$F$5:$F$32)*$F$5:$F$32))</f>
        <v>1</v>
      </c>
      <c r="Q22" s="28" t="n">
        <f aca="false">SUMPRODUCT($E$5:$E$32*(($G$5:$G$32&lt;$G$5:$G$32)*$G$5:$G$32+($G$5:$G$32&gt;=$G$5:$G$32)*$G$5:$G$32))/SUMPRODUCT($E$5:$E$32*(($G$5:$G$32&gt;$G$5:$G$32)*$G$5:$G$32+($G$5:$G$32&lt;=$G$5:$G$32)*$G$5:$G$32))</f>
        <v>1</v>
      </c>
      <c r="R22" s="28" t="n">
        <f aca="false">SUMPRODUCT($E$5:$E$32*(($G$5:$G$32&lt;$H$5:$H$32)*$G$5:$G$32+($G$5:$G$32&gt;=$H$5:$H$32)*$H$5:$H$32))/SUMPRODUCT($E$5:$E$32*(($G$5:$G$32&gt;$H$5:$H$32)*$G$5:$G$32+($G$5:$G$32&lt;=$H$5:$H$32)*$H$5:$H$32))</f>
        <v>1</v>
      </c>
      <c r="S22" s="28" t="n">
        <f aca="false">SUMPRODUCT($E$5:$E$32*(($G$5:$G$32&lt;$I$5:$I$32)*$G$5:$G$32+($G$5:$G$32&gt;=$I$5:$I$32)*$I$5:$I$32))/SUMPRODUCT($E$5:$E$32*(($G$5:$G$32&gt;$I$5:$I$32)*$G$5:$G$32+($G$5:$G$32&lt;=$I$5:$I$32)*$I$5:$I$32))</f>
        <v>0.625</v>
      </c>
      <c r="T22" s="28" t="n">
        <f aca="false">SUMPRODUCT($E$5:$E$32*(($G$5:$G$32&lt;$J$5:$J$32)*$G$5:$G$32+($G$5:$G$32&gt;=$J$5:$J$32)*$J$5:$J$32))/SUMPRODUCT($E$5:$E$32*(($G$5:$G$32&gt;$J$5:$J$32)*$G$5:$G$32+($G$5:$G$32&lt;=$J$5:$J$32)*$J$5:$J$32))</f>
        <v>1</v>
      </c>
    </row>
    <row r="23" customFormat="false" ht="15" hidden="false" customHeight="false" outlineLevel="0" collapsed="false">
      <c r="A23" s="24" t="s">
        <v>147</v>
      </c>
      <c r="B23" s="25" t="s">
        <v>136</v>
      </c>
      <c r="C23" s="24" t="s">
        <v>101</v>
      </c>
      <c r="D23" s="25" t="s">
        <v>151</v>
      </c>
      <c r="E23" s="26" t="n">
        <v>0</v>
      </c>
      <c r="F23" s="26" t="n">
        <v>1</v>
      </c>
      <c r="G23" s="26" t="n">
        <v>1</v>
      </c>
      <c r="H23" s="26" t="n">
        <v>1</v>
      </c>
      <c r="I23" s="26" t="n">
        <v>1</v>
      </c>
      <c r="J23" s="26" t="n">
        <v>1</v>
      </c>
      <c r="K23" s="24" t="n">
        <f aca="false">MIN(F23:J23)</f>
        <v>1</v>
      </c>
      <c r="L23" s="24" t="n">
        <f aca="false">MAX(F23:J23)</f>
        <v>1</v>
      </c>
      <c r="M23" s="24" t="n">
        <f aca="false">L23-K23</f>
        <v>0</v>
      </c>
      <c r="O23" s="27" t="s">
        <v>91</v>
      </c>
      <c r="P23" s="28" t="n">
        <f aca="false">SUMPRODUCT($E$5:$E$32*(($H$5:$H$32&lt;$F$5:$F$32)*$H$5:$H$32+($H$5:$H$32&gt;=$F$5:$F$32)*$F$5:$F$32))/SUMPRODUCT($E$5:$E$32*(($H$5:$H$32&gt;$F$5:$F$32)*$H$5:$H$32+($H$5:$H$32&lt;=$F$5:$F$32)*$F$5:$F$32))</f>
        <v>1</v>
      </c>
      <c r="Q23" s="28" t="n">
        <f aca="false">SUMPRODUCT($E$5:$E$32*(($H$5:$H$32&lt;$G$5:$G$32)*$H$5:$H$32+($H$5:$H$32&gt;=$G$5:$G$32)*$G$5:$G$32))/SUMPRODUCT($E$5:$E$32*(($H$5:$H$32&gt;$G$5:$G$32)*$H$5:$H$32+($H$5:$H$32&lt;=$G$5:$G$32)*$G$5:$G$32))</f>
        <v>1</v>
      </c>
      <c r="R23" s="28" t="n">
        <f aca="false">SUMPRODUCT($E$5:$E$32*(($H$5:$H$32&lt;$H$5:$H$32)*$H$5:$H$32+($H$5:$H$32&gt;=$H$5:$H$32)*$H$5:$H$32))/SUMPRODUCT($E$5:$E$32*(($H$5:$H$32&gt;$H$5:$H$32)*$H$5:$H$32+($H$5:$H$32&lt;=$H$5:$H$32)*$H$5:$H$32))</f>
        <v>1</v>
      </c>
      <c r="S23" s="28" t="n">
        <f aca="false">SUMPRODUCT($E$5:$E$32*(($H$5:$H$32&lt;$I$5:$I$32)*$H$5:$H$32+($H$5:$H$32&gt;=$I$5:$I$32)*$I$5:$I$32))/SUMPRODUCT($E$5:$E$32*(($H$5:$H$32&gt;$I$5:$I$32)*$H$5:$H$32+($H$5:$H$32&lt;=$I$5:$I$32)*$I$5:$I$32))</f>
        <v>0.625</v>
      </c>
      <c r="T23" s="28" t="n">
        <f aca="false">SUMPRODUCT($E$5:$E$32*(($H$5:$H$32&lt;$J$5:$J$32)*$H$5:$H$32+($H$5:$H$32&gt;=$J$5:$J$32)*$J$5:$J$32))/SUMPRODUCT($E$5:$E$32*(($H$5:$H$32&gt;$J$5:$J$32)*$H$5:$H$32+($H$5:$H$32&lt;=$J$5:$J$32)*$J$5:$J$32))</f>
        <v>1</v>
      </c>
    </row>
    <row r="24" customFormat="false" ht="15" hidden="false" customHeight="false" outlineLevel="0" collapsed="false">
      <c r="A24" s="24" t="s">
        <v>148</v>
      </c>
      <c r="B24" s="25" t="s">
        <v>129</v>
      </c>
      <c r="C24" s="24" t="s">
        <v>101</v>
      </c>
      <c r="D24" s="25" t="s">
        <v>151</v>
      </c>
      <c r="E24" s="26" t="n">
        <v>0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4" t="n">
        <f aca="false">MIN(F24:J24)</f>
        <v>1</v>
      </c>
      <c r="L24" s="24" t="n">
        <f aca="false">MAX(F24:J24)</f>
        <v>1</v>
      </c>
      <c r="M24" s="24" t="n">
        <f aca="false">L24-K24</f>
        <v>0</v>
      </c>
      <c r="O24" s="27" t="s">
        <v>92</v>
      </c>
      <c r="P24" s="28" t="n">
        <f aca="false">SUMPRODUCT($E$5:$E$32*(($I$5:$I$32&lt;$F$5:$F$32)*$I$5:$I$32+($I$5:$I$32&gt;=$F$5:$F$32)*$F$5:$F$32))/SUMPRODUCT($E$5:$E$32*(($I$5:$I$32&gt;$F$5:$F$32)*$I$5:$I$32+($I$5:$I$32&lt;=$F$5:$F$32)*$F$5:$F$32))</f>
        <v>0.625</v>
      </c>
      <c r="Q24" s="28" t="n">
        <f aca="false">SUMPRODUCT($E$5:$E$32*(($I$5:$I$32&lt;$G$5:$G$32)*$I$5:$I$32+($I$5:$I$32&gt;=$G$5:$G$32)*$G$5:$G$32))/SUMPRODUCT($E$5:$E$32*(($I$5:$I$32&gt;$G$5:$G$32)*$I$5:$I$32+($I$5:$I$32&lt;=$G$5:$G$32)*$G$5:$G$32))</f>
        <v>0.625</v>
      </c>
      <c r="R24" s="28" t="n">
        <f aca="false">SUMPRODUCT($E$5:$E$32*(($I$5:$I$32&lt;$H$5:$H$32)*$I$5:$I$32+($I$5:$I$32&gt;=$H$5:$H$32)*$H$5:$H$32))/SUMPRODUCT($E$5:$E$32*(($I$5:$I$32&gt;$H$5:$H$32)*$I$5:$I$32+($I$5:$I$32&lt;=$H$5:$H$32)*$H$5:$H$32))</f>
        <v>0.625</v>
      </c>
      <c r="S24" s="28" t="n">
        <f aca="false">SUMPRODUCT($E$5:$E$32*(($I$5:$I$32&lt;$I$5:$I$32)*$I$5:$I$32+($I$5:$I$32&gt;=$I$5:$I$32)*$I$5:$I$32))/SUMPRODUCT($E$5:$E$32*(($I$5:$I$32&gt;$I$5:$I$32)*$I$5:$I$32+($I$5:$I$32&lt;=$I$5:$I$32)*$I$5:$I$32))</f>
        <v>1</v>
      </c>
      <c r="T24" s="28" t="n">
        <f aca="false">SUMPRODUCT($E$5:$E$32*(($I$5:$I$32&lt;$J$5:$J$32)*$I$5:$I$32+($I$5:$I$32&gt;=$J$5:$J$32)*$J$5:$J$32))/SUMPRODUCT($E$5:$E$32*(($I$5:$I$32&gt;$J$5:$J$32)*$I$5:$I$32+($I$5:$I$32&lt;=$J$5:$J$32)*$J$5:$J$32))</f>
        <v>0.625</v>
      </c>
    </row>
    <row r="25" customFormat="false" ht="15" hidden="false" customHeight="false" outlineLevel="0" collapsed="false">
      <c r="A25" s="24" t="s">
        <v>149</v>
      </c>
      <c r="B25" s="25" t="s">
        <v>162</v>
      </c>
      <c r="C25" s="24" t="s">
        <v>101</v>
      </c>
      <c r="D25" s="25" t="s">
        <v>155</v>
      </c>
      <c r="E25" s="26" t="n">
        <v>0</v>
      </c>
      <c r="F25" s="26" t="n">
        <v>1</v>
      </c>
      <c r="G25" s="26" t="n">
        <v>1</v>
      </c>
      <c r="H25" s="26" t="n">
        <v>1</v>
      </c>
      <c r="I25" s="26" t="n">
        <v>1</v>
      </c>
      <c r="J25" s="26" t="n">
        <v>1</v>
      </c>
      <c r="K25" s="24" t="n">
        <f aca="false">MIN(F25:J25)</f>
        <v>1</v>
      </c>
      <c r="L25" s="24" t="n">
        <f aca="false">MAX(F25:J25)</f>
        <v>1</v>
      </c>
      <c r="M25" s="24" t="n">
        <f aca="false">L25-K25</f>
        <v>0</v>
      </c>
      <c r="O25" s="27" t="s">
        <v>93</v>
      </c>
      <c r="P25" s="28" t="n">
        <f aca="false">SUMPRODUCT($E$5:$E$32*(($J$5:$J$32&lt;$F$5:$F$32)*$J$5:$J$32+($J$5:$J$32&gt;=$F$5:$F$32)*$F$5:$F$32))/SUMPRODUCT($E$5:$E$32*(($J$5:$J$32&gt;$F$5:$F$32)*$J$5:$J$32+($J$5:$J$32&lt;=$F$5:$F$32)*$F$5:$F$32))</f>
        <v>1</v>
      </c>
      <c r="Q25" s="28" t="n">
        <f aca="false">SUMPRODUCT($E$5:$E$32*(($J$5:$J$32&lt;$G$5:$G$32)*$J$5:$J$32+($J$5:$J$32&gt;=$G$5:$G$32)*$G$5:$G$32))/SUMPRODUCT($E$5:$E$32*(($J$5:$J$32&gt;$G$5:$G$32)*$J$5:$J$32+($J$5:$J$32&lt;=$G$5:$G$32)*$G$5:$G$32))</f>
        <v>1</v>
      </c>
      <c r="R25" s="28" t="n">
        <f aca="false">SUMPRODUCT($E$5:$E$32*(($J$5:$J$32&lt;$H$5:$H$32)*$J$5:$J$32+($J$5:$J$32&gt;=$H$5:$H$32)*$H$5:$H$32))/SUMPRODUCT($E$5:$E$32*(($J$5:$J$32&gt;$H$5:$H$32)*$J$5:$J$32+($J$5:$J$32&lt;=$H$5:$H$32)*$H$5:$H$32))</f>
        <v>1</v>
      </c>
      <c r="S25" s="28" t="n">
        <f aca="false">SUMPRODUCT($E$5:$E$32*(($J$5:$J$32&lt;$I$5:$I$32)*$J$5:$J$32+($J$5:$J$32&gt;=$I$5:$I$32)*$I$5:$I$32))/SUMPRODUCT($E$5:$E$32*(($J$5:$J$32&gt;$I$5:$I$32)*$J$5:$J$32+($J$5:$J$32&lt;=$I$5:$I$32)*$I$5:$I$32))</f>
        <v>0.625</v>
      </c>
      <c r="T25" s="28" t="n">
        <f aca="false">SUMPRODUCT($E$5:$E$32*(($J$5:$J$32&lt;$J$5:$J$32)*$J$5:$J$32+($J$5:$J$32&gt;=$J$5:$J$32)*$J$5:$J$32))/SUMPRODUCT($E$5:$E$32*(($J$5:$J$32&gt;$J$5:$J$32)*$J$5:$J$32+($J$5:$J$32&lt;=$J$5:$J$32)*$J$5:$J$32))</f>
        <v>1</v>
      </c>
    </row>
    <row r="26" customFormat="false" ht="15" hidden="false" customHeight="false" outlineLevel="0" collapsed="false">
      <c r="A26" s="24" t="s">
        <v>150</v>
      </c>
      <c r="B26" s="25" t="s">
        <v>124</v>
      </c>
      <c r="C26" s="24" t="s">
        <v>164</v>
      </c>
      <c r="D26" s="25" t="s">
        <v>165</v>
      </c>
      <c r="E26" s="26" t="n">
        <v>0</v>
      </c>
      <c r="F26" s="26" t="n">
        <v>1</v>
      </c>
      <c r="G26" s="26" t="n">
        <v>1</v>
      </c>
      <c r="H26" s="26" t="n">
        <v>1</v>
      </c>
      <c r="I26" s="26" t="n">
        <v>1</v>
      </c>
      <c r="J26" s="26" t="n">
        <v>1</v>
      </c>
      <c r="K26" s="24" t="n">
        <f aca="false">MIN(F26:J26)</f>
        <v>1</v>
      </c>
      <c r="L26" s="24" t="n">
        <f aca="false">MAX(F26:J26)</f>
        <v>1</v>
      </c>
      <c r="M26" s="24" t="n">
        <f aca="false">L26-K26</f>
        <v>0</v>
      </c>
    </row>
    <row r="27" customFormat="false" ht="15" hidden="false" customHeight="false" outlineLevel="0" collapsed="false">
      <c r="A27" s="24" t="s">
        <v>152</v>
      </c>
      <c r="B27" s="25" t="s">
        <v>154</v>
      </c>
      <c r="C27" s="24" t="s">
        <v>164</v>
      </c>
      <c r="D27" s="25" t="s">
        <v>165</v>
      </c>
      <c r="E27" s="26" t="n">
        <v>0</v>
      </c>
      <c r="F27" s="26" t="n">
        <v>1</v>
      </c>
      <c r="G27" s="26" t="n">
        <v>1</v>
      </c>
      <c r="H27" s="26" t="n">
        <v>1</v>
      </c>
      <c r="I27" s="26" t="n">
        <v>1</v>
      </c>
      <c r="J27" s="26" t="n">
        <v>1</v>
      </c>
      <c r="K27" s="24" t="n">
        <f aca="false">MIN(F27:J27)</f>
        <v>1</v>
      </c>
      <c r="L27" s="24" t="n">
        <f aca="false">MAX(F27:J27)</f>
        <v>1</v>
      </c>
      <c r="M27" s="24" t="n">
        <f aca="false">L27-K27</f>
        <v>0</v>
      </c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A28" s="24" t="s">
        <v>153</v>
      </c>
      <c r="B28" s="25" t="s">
        <v>157</v>
      </c>
      <c r="C28" s="24" t="s">
        <v>164</v>
      </c>
      <c r="D28" s="25" t="s">
        <v>165</v>
      </c>
      <c r="E28" s="26" t="n">
        <v>0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4" t="n">
        <f aca="false">MIN(F28:J28)</f>
        <v>1</v>
      </c>
      <c r="L28" s="24" t="n">
        <f aca="false">MAX(F28:J28)</f>
        <v>1</v>
      </c>
      <c r="M28" s="24" t="n">
        <f aca="false">L28-K28</f>
        <v>0</v>
      </c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A29" s="24" t="s">
        <v>156</v>
      </c>
      <c r="B29" s="25" t="s">
        <v>127</v>
      </c>
      <c r="C29" s="24" t="s">
        <v>164</v>
      </c>
      <c r="D29" s="25" t="s">
        <v>165</v>
      </c>
      <c r="E29" s="26" t="n">
        <v>0</v>
      </c>
      <c r="F29" s="26" t="n">
        <v>1</v>
      </c>
      <c r="G29" s="26" t="n">
        <v>1</v>
      </c>
      <c r="H29" s="26" t="n">
        <v>1</v>
      </c>
      <c r="I29" s="26" t="n">
        <v>1</v>
      </c>
      <c r="J29" s="26" t="n">
        <v>1</v>
      </c>
      <c r="K29" s="24" t="n">
        <f aca="false">MIN(F29:J29)</f>
        <v>1</v>
      </c>
      <c r="L29" s="24" t="n">
        <f aca="false">MAX(F29:J29)</f>
        <v>1</v>
      </c>
      <c r="M29" s="24" t="n">
        <f aca="false">L29-K29</f>
        <v>0</v>
      </c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A30" s="24" t="s">
        <v>158</v>
      </c>
      <c r="B30" s="25" t="s">
        <v>136</v>
      </c>
      <c r="C30" s="24" t="s">
        <v>164</v>
      </c>
      <c r="D30" s="25" t="s">
        <v>165</v>
      </c>
      <c r="E30" s="26" t="n">
        <v>0</v>
      </c>
      <c r="F30" s="26" t="n">
        <v>1</v>
      </c>
      <c r="G30" s="26" t="n">
        <v>1</v>
      </c>
      <c r="H30" s="26" t="n">
        <v>1</v>
      </c>
      <c r="I30" s="26" t="n">
        <v>1</v>
      </c>
      <c r="J30" s="26" t="n">
        <v>1</v>
      </c>
      <c r="K30" s="24" t="n">
        <f aca="false">MIN(F30:J30)</f>
        <v>1</v>
      </c>
      <c r="L30" s="24" t="n">
        <f aca="false">MAX(F30:J30)</f>
        <v>1</v>
      </c>
      <c r="M30" s="24" t="n">
        <f aca="false">L30-K30</f>
        <v>0</v>
      </c>
      <c r="O30" s="22" t="s">
        <v>74</v>
      </c>
      <c r="P30" s="12" t="n">
        <f aca="false">S13</f>
        <v>0.823529411764706</v>
      </c>
      <c r="Q30" s="12" t="n">
        <f aca="false">S21</f>
        <v>0.625</v>
      </c>
    </row>
    <row r="31" customFormat="false" ht="15" hidden="false" customHeight="false" outlineLevel="0" collapsed="false">
      <c r="A31" s="24" t="s">
        <v>159</v>
      </c>
      <c r="B31" s="25" t="s">
        <v>129</v>
      </c>
      <c r="C31" s="24" t="s">
        <v>164</v>
      </c>
      <c r="D31" s="25" t="s">
        <v>165</v>
      </c>
      <c r="E31" s="26" t="n">
        <v>0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4" t="n">
        <f aca="false">MIN(F31:J31)</f>
        <v>1</v>
      </c>
      <c r="L31" s="24" t="n">
        <f aca="false">MAX(F31:J31)</f>
        <v>1</v>
      </c>
      <c r="M31" s="24" t="n">
        <f aca="false">L31-K31</f>
        <v>0</v>
      </c>
      <c r="O31" s="22" t="s">
        <v>75</v>
      </c>
      <c r="P31" s="12" t="n">
        <f aca="false">T13</f>
        <v>1</v>
      </c>
      <c r="Q31" s="12" t="n">
        <f aca="false">T21</f>
        <v>1</v>
      </c>
    </row>
    <row r="32" customFormat="false" ht="15" hidden="false" customHeight="false" outlineLevel="0" collapsed="false">
      <c r="A32" s="24" t="s">
        <v>160</v>
      </c>
      <c r="B32" s="25" t="s">
        <v>162</v>
      </c>
      <c r="C32" s="24" t="s">
        <v>164</v>
      </c>
      <c r="D32" s="25" t="s">
        <v>165</v>
      </c>
      <c r="E32" s="26" t="n">
        <v>0</v>
      </c>
      <c r="F32" s="26" t="n">
        <v>1</v>
      </c>
      <c r="G32" s="26" t="n">
        <v>1</v>
      </c>
      <c r="H32" s="26" t="n">
        <v>1</v>
      </c>
      <c r="I32" s="26" t="n">
        <v>1</v>
      </c>
      <c r="J32" s="26" t="n">
        <v>1</v>
      </c>
      <c r="K32" s="24" t="n">
        <f aca="false">MIN(F32:J32)</f>
        <v>1</v>
      </c>
      <c r="L32" s="24" t="n">
        <f aca="false">MAX(F32:J32)</f>
        <v>1</v>
      </c>
      <c r="M32" s="24" t="n">
        <f aca="false">L32-K32</f>
        <v>0</v>
      </c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D33" s="29" t="s">
        <v>178</v>
      </c>
      <c r="F33" s="13" t="n">
        <f aca="false">SUM(F5:F32)</f>
        <v>34</v>
      </c>
      <c r="G33" s="13" t="n">
        <f aca="false">SUM(G5:G32)</f>
        <v>34</v>
      </c>
      <c r="H33" s="13" t="n">
        <f aca="false">SUM(H5:H32)</f>
        <v>34</v>
      </c>
      <c r="I33" s="13" t="n">
        <f aca="false">SUM(I5:I32)</f>
        <v>28</v>
      </c>
      <c r="J33" s="13" t="n">
        <f aca="false">SUM(J5:J32)</f>
        <v>34</v>
      </c>
      <c r="K33" s="13" t="n">
        <f aca="false">SUM(K5:K32)</f>
        <v>28</v>
      </c>
      <c r="L33" s="13" t="n">
        <f aca="false">SUM(L5:L32)</f>
        <v>34</v>
      </c>
      <c r="O33" s="22" t="s">
        <v>77</v>
      </c>
      <c r="P33" s="12" t="n">
        <f aca="false">S14</f>
        <v>0.823529411764706</v>
      </c>
      <c r="Q33" s="12" t="n">
        <f aca="false">S22</f>
        <v>0.625</v>
      </c>
    </row>
    <row r="34" customFormat="false" ht="15" hidden="false" customHeight="false" outlineLevel="0" collapsed="false">
      <c r="D34" s="29" t="s">
        <v>180</v>
      </c>
      <c r="F34" s="13" t="n">
        <f aca="false">SUMPRODUCT($E$5:$E$32,F5:F32)</f>
        <v>16</v>
      </c>
      <c r="G34" s="13" t="n">
        <f aca="false">SUMPRODUCT($E$5:$E$32,G5:G32)</f>
        <v>16</v>
      </c>
      <c r="H34" s="13" t="n">
        <f aca="false">SUMPRODUCT($E$5:$E$32,H5:H32)</f>
        <v>16</v>
      </c>
      <c r="I34" s="13" t="n">
        <f aca="false">SUMPRODUCT($E$5:$E$32,I5:I32)</f>
        <v>10</v>
      </c>
      <c r="J34" s="13" t="n">
        <f aca="false">SUMPRODUCT($E$5:$E$32,J5:J32)</f>
        <v>16</v>
      </c>
      <c r="K34" s="13" t="n">
        <f aca="false">SUMPRODUCT($E$5:$E$32,K5:K32)</f>
        <v>10</v>
      </c>
      <c r="L34" s="13" t="n">
        <f aca="false">SUMPRODUCT($E$5:$E$32,L5:L32)</f>
        <v>16</v>
      </c>
      <c r="O34" s="22" t="s">
        <v>78</v>
      </c>
      <c r="P34" s="12" t="n">
        <f aca="false">T14</f>
        <v>1</v>
      </c>
      <c r="Q34" s="12" t="n">
        <f aca="false">T22</f>
        <v>1</v>
      </c>
    </row>
    <row r="35" customFormat="false" ht="15" hidden="false" customHeight="false" outlineLevel="0" collapsed="false">
      <c r="D35" s="29" t="s">
        <v>182</v>
      </c>
      <c r="F35" s="13" t="n">
        <f aca="false">COUNTIF(F5:F32,"&gt;0")</f>
        <v>28</v>
      </c>
      <c r="G35" s="13" t="n">
        <f aca="false">COUNTIF(G5:G32,"&gt;0")</f>
        <v>28</v>
      </c>
      <c r="H35" s="13" t="n">
        <f aca="false">COUNTIF(H5:H32,"&gt;0")</f>
        <v>28</v>
      </c>
      <c r="I35" s="13" t="n">
        <f aca="false">COUNTIF(I5:I32,"&gt;0")</f>
        <v>28</v>
      </c>
      <c r="J35" s="13" t="n">
        <f aca="false">COUNTIF(J5:J32,"&gt;0")</f>
        <v>28</v>
      </c>
      <c r="O35" s="22" t="s">
        <v>79</v>
      </c>
      <c r="P35" s="12" t="n">
        <f aca="false">S15</f>
        <v>0.823529411764706</v>
      </c>
      <c r="Q35" s="12" t="n">
        <f aca="false">S23</f>
        <v>0.625</v>
      </c>
    </row>
    <row r="36" customFormat="false" ht="15" hidden="false" customHeight="false" outlineLevel="0" collapsed="false">
      <c r="D36" s="29" t="s">
        <v>184</v>
      </c>
      <c r="F36" s="13" t="n">
        <f aca="false">COUNTIFS(F5:F32,"&gt;0",$E$5:$E$32,1)</f>
        <v>10</v>
      </c>
      <c r="G36" s="13" t="n">
        <f aca="false">COUNTIFS(G5:G32,"&gt;0",$E$5:$E$32,1)</f>
        <v>10</v>
      </c>
      <c r="H36" s="13" t="n">
        <f aca="false">COUNTIFS(H5:H32,"&gt;0",$E$5:$E$32,1)</f>
        <v>10</v>
      </c>
      <c r="I36" s="13" t="n">
        <f aca="false">COUNTIFS(I5:I32,"&gt;0",$E$5:$E$32,1)</f>
        <v>10</v>
      </c>
      <c r="J36" s="13" t="n">
        <f aca="false">COUNTIFS(J5:J32,"&gt;0",$E$5:$E$32,1)</f>
        <v>10</v>
      </c>
      <c r="O36" s="22" t="s">
        <v>80</v>
      </c>
      <c r="P36" s="12" t="n">
        <f aca="false">T15</f>
        <v>1</v>
      </c>
      <c r="Q36" s="12" t="n">
        <f aca="false">T23</f>
        <v>1</v>
      </c>
    </row>
    <row r="37" customFormat="false" ht="15" hidden="false" customHeight="false" outlineLevel="0" collapsed="false">
      <c r="O37" s="22" t="s">
        <v>81</v>
      </c>
      <c r="P37" s="12" t="n">
        <f aca="false">T16</f>
        <v>0.823529411764706</v>
      </c>
      <c r="Q37" s="12" t="n">
        <f aca="false">T24</f>
        <v>0.625</v>
      </c>
    </row>
    <row r="39" customFormat="false" ht="15" hidden="false" customHeight="false" outlineLevel="0" collapsed="false"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O40" s="8" t="s">
        <v>175</v>
      </c>
      <c r="P40" s="12" t="n">
        <f aca="false">AVERAGE(P28:P37)</f>
        <v>0.929411764705882</v>
      </c>
      <c r="Q40" s="12" t="n">
        <f aca="false">AVERAGE(Q28:Q37)</f>
        <v>0.85</v>
      </c>
    </row>
    <row r="41" customFormat="false" ht="15" hidden="false" customHeight="false" outlineLevel="0" collapsed="false">
      <c r="O41" s="8" t="s">
        <v>177</v>
      </c>
      <c r="P41" s="12" t="n">
        <f aca="false">STDEV(P28:P37)</f>
        <v>0.0911290199107628</v>
      </c>
      <c r="Q41" s="12" t="n">
        <f aca="false">STDEV(Q28:Q37)</f>
        <v>0.193649167310371</v>
      </c>
    </row>
    <row r="42" customFormat="false" ht="15" hidden="false" customHeight="false" outlineLevel="0" collapsed="false">
      <c r="O42" s="8" t="s">
        <v>179</v>
      </c>
      <c r="P42" s="12" t="n">
        <f aca="false">MIN(P28:P37)</f>
        <v>0.823529411764706</v>
      </c>
      <c r="Q42" s="12" t="n">
        <f aca="false">MIN(Q28:Q37)</f>
        <v>0.625</v>
      </c>
    </row>
    <row r="43" customFormat="false" ht="15" hidden="false" customHeight="false" outlineLevel="0" collapsed="false"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O44" s="8" t="s">
        <v>183</v>
      </c>
      <c r="P44" s="12" t="n">
        <f aca="false">K33/L33</f>
        <v>0.823529411764706</v>
      </c>
      <c r="Q44" s="12" t="n">
        <f aca="false">K34/L34</f>
        <v>0.625</v>
      </c>
    </row>
    <row r="45" customFormat="false" ht="15" hidden="false" customHeight="false" outlineLevel="0" collapsed="false">
      <c r="O45" s="8" t="s">
        <v>185</v>
      </c>
      <c r="P45" s="30" t="n">
        <f aca="false">AVERAGE(F35:J35)</f>
        <v>28</v>
      </c>
      <c r="Q45" s="30" t="n">
        <f aca="false">AVERAGE(F36:J36)</f>
        <v>10</v>
      </c>
    </row>
    <row r="46" customFormat="false" ht="15" hidden="false" customHeight="false" outlineLevel="0" collapsed="false">
      <c r="O46" s="8" t="s">
        <v>186</v>
      </c>
      <c r="P46" s="30" t="n">
        <f aca="false">AVERAGE(F33:J33)</f>
        <v>32.8</v>
      </c>
      <c r="Q46" s="30" t="n">
        <f aca="false">AVERAGE(F34:J34)</f>
        <v>14.8</v>
      </c>
    </row>
  </sheetData>
  <conditionalFormatting sqref="A5:M32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193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35.05" hidden="false" customHeight="false" outlineLevel="0" collapsed="false">
      <c r="A5" s="24" t="s">
        <v>99</v>
      </c>
      <c r="B5" s="25" t="s">
        <v>194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195</v>
      </c>
    </row>
    <row r="6" customFormat="false" ht="35.05" hidden="false" customHeight="false" outlineLevel="0" collapsed="false">
      <c r="A6" s="24" t="s">
        <v>104</v>
      </c>
      <c r="B6" s="25" t="s">
        <v>194</v>
      </c>
      <c r="C6" s="24" t="s">
        <v>101</v>
      </c>
      <c r="D6" s="25" t="s">
        <v>196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197</v>
      </c>
    </row>
    <row r="7" customFormat="false" ht="35.05" hidden="false" customHeight="false" outlineLevel="0" collapsed="false">
      <c r="A7" s="24" t="s">
        <v>108</v>
      </c>
      <c r="B7" s="25" t="s">
        <v>194</v>
      </c>
      <c r="C7" s="24" t="s">
        <v>101</v>
      </c>
      <c r="D7" s="25" t="s">
        <v>198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199</v>
      </c>
    </row>
    <row r="8" customFormat="false" ht="35.05" hidden="false" customHeight="false" outlineLevel="0" collapsed="false">
      <c r="A8" s="24" t="s">
        <v>112</v>
      </c>
      <c r="B8" s="25" t="s">
        <v>194</v>
      </c>
      <c r="C8" s="24" t="s">
        <v>101</v>
      </c>
      <c r="D8" s="25" t="s">
        <v>200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4" t="n">
        <f aca="false">MIN(F8:J8)</f>
        <v>1</v>
      </c>
      <c r="L8" s="24" t="n">
        <f aca="false">MAX(F8:J8)</f>
        <v>1</v>
      </c>
      <c r="M8" s="24" t="n">
        <f aca="false">L8-K8</f>
        <v>0</v>
      </c>
      <c r="O8" s="8" t="s">
        <v>92</v>
      </c>
      <c r="P8" s="22" t="s">
        <v>201</v>
      </c>
    </row>
    <row r="9" customFormat="false" ht="15" hidden="false" customHeight="false" outlineLevel="0" collapsed="false">
      <c r="A9" s="24" t="s">
        <v>115</v>
      </c>
      <c r="B9" s="25" t="s">
        <v>202</v>
      </c>
      <c r="C9" s="24" t="s">
        <v>101</v>
      </c>
      <c r="D9" s="25" t="s">
        <v>203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4" t="n">
        <f aca="false">MIN(F9:J9)</f>
        <v>1</v>
      </c>
      <c r="L9" s="24" t="n">
        <f aca="false">MAX(F9:J9)</f>
        <v>1</v>
      </c>
      <c r="M9" s="24" t="n">
        <f aca="false">L9-K9</f>
        <v>0</v>
      </c>
      <c r="O9" s="8" t="s">
        <v>93</v>
      </c>
      <c r="P9" s="22" t="s">
        <v>204</v>
      </c>
    </row>
    <row r="10" customFormat="false" ht="15" hidden="false" customHeight="false" outlineLevel="0" collapsed="false">
      <c r="A10" s="24" t="s">
        <v>119</v>
      </c>
      <c r="B10" s="25" t="s">
        <v>205</v>
      </c>
      <c r="C10" s="24" t="s">
        <v>101</v>
      </c>
      <c r="D10" s="25" t="s">
        <v>206</v>
      </c>
      <c r="E10" s="26" t="n">
        <v>1</v>
      </c>
      <c r="F10" s="26" t="n">
        <v>1</v>
      </c>
      <c r="G10" s="26" t="n">
        <v>1</v>
      </c>
      <c r="H10" s="26" t="n">
        <v>1</v>
      </c>
      <c r="I10" s="26" t="n">
        <v>1</v>
      </c>
      <c r="J10" s="26" t="n">
        <v>1</v>
      </c>
      <c r="K10" s="24" t="n">
        <f aca="false">MIN(F10:J10)</f>
        <v>1</v>
      </c>
      <c r="L10" s="24" t="n">
        <f aca="false">MAX(F10:J10)</f>
        <v>1</v>
      </c>
      <c r="M10" s="24" t="n">
        <f aca="false">L10-K10</f>
        <v>0</v>
      </c>
    </row>
    <row r="11" customFormat="false" ht="15" hidden="false" customHeight="false" outlineLevel="0" collapsed="false">
      <c r="A11" s="24" t="s">
        <v>122</v>
      </c>
      <c r="B11" s="25" t="s">
        <v>105</v>
      </c>
      <c r="C11" s="24" t="s">
        <v>101</v>
      </c>
      <c r="D11" s="25" t="s">
        <v>106</v>
      </c>
      <c r="E11" s="26" t="n">
        <v>1</v>
      </c>
      <c r="F11" s="26" t="n">
        <v>1</v>
      </c>
      <c r="G11" s="26" t="n">
        <v>1</v>
      </c>
      <c r="H11" s="26" t="n">
        <v>1</v>
      </c>
      <c r="I11" s="26" t="n">
        <v>1</v>
      </c>
      <c r="J11" s="26" t="n">
        <v>1</v>
      </c>
      <c r="K11" s="24" t="n">
        <f aca="false">MIN(F11:J11)</f>
        <v>1</v>
      </c>
      <c r="L11" s="24" t="n">
        <f aca="false">MAX(F11:J11)</f>
        <v>1</v>
      </c>
      <c r="M11" s="24" t="n">
        <f aca="false">L11-K11</f>
        <v>0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109</v>
      </c>
      <c r="C12" s="24" t="s">
        <v>101</v>
      </c>
      <c r="D12" s="25" t="s">
        <v>113</v>
      </c>
      <c r="E12" s="26" t="n">
        <v>1</v>
      </c>
      <c r="F12" s="26" t="n">
        <v>1</v>
      </c>
      <c r="G12" s="26" t="n">
        <v>1</v>
      </c>
      <c r="H12" s="26" t="n">
        <v>1</v>
      </c>
      <c r="I12" s="26" t="n">
        <v>1</v>
      </c>
      <c r="J12" s="26" t="n">
        <v>1</v>
      </c>
      <c r="K12" s="24" t="n">
        <f aca="false">MIN(F12:J12)</f>
        <v>1</v>
      </c>
      <c r="L12" s="24" t="n">
        <f aca="false">MAX(F12:J12)</f>
        <v>1</v>
      </c>
      <c r="M12" s="24" t="n">
        <f aca="false">L12-K12</f>
        <v>0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207</v>
      </c>
      <c r="C13" s="24" t="s">
        <v>101</v>
      </c>
      <c r="D13" s="25" t="s">
        <v>208</v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4" t="n">
        <f aca="false">MIN(F13:J13)</f>
        <v>1</v>
      </c>
      <c r="L13" s="24" t="n">
        <f aca="false">MAX(F13:J13)</f>
        <v>1</v>
      </c>
      <c r="M13" s="24" t="n">
        <f aca="false">L13-K13</f>
        <v>0</v>
      </c>
      <c r="O13" s="27" t="s">
        <v>89</v>
      </c>
      <c r="P13" s="28" t="n">
        <f aca="false">SUMPRODUCT((($F$5:$F$50&lt;$F$5:$F$50)*$F$5:$F$50+($F$5:$F$50&gt;=$F$5:$F$50)*$F$5:$F$50))/SUMPRODUCT((($F$5:$F$50&gt;$F$5:$F$50)*$F$5:$F$50+($F$5:$F$50&lt;=$F$5:$F$50)*$F$5:$F$50))</f>
        <v>1</v>
      </c>
      <c r="Q13" s="28" t="n">
        <f aca="false">SUMPRODUCT((($F$5:$F$50&lt;$G$5:$G$50)*$F$5:$F$50+($F$5:$F$50&gt;=$G$5:$G$50)*$G$5:$G$50))/SUMPRODUCT((($F$5:$F$50&gt;$G$5:$G$50)*$F$5:$F$50+($F$5:$F$50&lt;=$G$5:$G$50)*$G$5:$G$50))</f>
        <v>1</v>
      </c>
      <c r="R13" s="28" t="n">
        <f aca="false">SUMPRODUCT((($F$5:$F$50&lt;$H$5:$H$50)*$F$5:$F$50+($F$5:$F$50&gt;=$H$5:$H$50)*$H$5:$H$50))/SUMPRODUCT((($F$5:$F$50&gt;$H$5:$H$50)*$F$5:$F$50+($F$5:$F$50&lt;=$H$5:$H$50)*$H$5:$H$50))</f>
        <v>1</v>
      </c>
      <c r="S13" s="28" t="n">
        <f aca="false">SUMPRODUCT((($F$5:$F$50&lt;$I$5:$I$50)*$F$5:$F$50+($F$5:$F$50&gt;=$I$5:$I$50)*$I$5:$I$50))/SUMPRODUCT((($F$5:$F$50&gt;$I$5:$I$50)*$F$5:$F$50+($F$5:$F$50&lt;=$I$5:$I$50)*$I$5:$I$50))</f>
        <v>1</v>
      </c>
      <c r="T13" s="28" t="n">
        <f aca="false">SUMPRODUCT((($F$5:$F$50&lt;$J$5:$J$50)*$F$5:$F$50+($F$5:$F$50&gt;=$J$5:$J$50)*$J$5:$J$50))/SUMPRODUCT((($F$5:$F$50&gt;$J$5:$J$50)*$F$5:$F$50+($F$5:$F$50&lt;=$J$5:$J$50)*$J$5:$J$50))</f>
        <v>1</v>
      </c>
    </row>
    <row r="14" customFormat="false" ht="15" hidden="false" customHeight="false" outlineLevel="0" collapsed="false">
      <c r="A14" s="24" t="s">
        <v>130</v>
      </c>
      <c r="B14" s="25" t="s">
        <v>116</v>
      </c>
      <c r="C14" s="24" t="s">
        <v>101</v>
      </c>
      <c r="D14" s="25" t="s">
        <v>117</v>
      </c>
      <c r="E14" s="26" t="n">
        <v>1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4" t="n">
        <f aca="false">MIN(F14:J14)</f>
        <v>2</v>
      </c>
      <c r="L14" s="24" t="n">
        <f aca="false">MAX(F14:J14)</f>
        <v>2</v>
      </c>
      <c r="M14" s="24" t="n">
        <f aca="false">L14-K14</f>
        <v>0</v>
      </c>
      <c r="O14" s="27" t="s">
        <v>90</v>
      </c>
      <c r="P14" s="28" t="n">
        <f aca="false">SUMPRODUCT((($G$5:$G$50&lt;$F$5:$F$50)*$G$5:$G$50+($G$5:$G$50&gt;=$F$5:$F$50)*$F$5:$F$50))/SUMPRODUCT((($G$5:$G$50&gt;$F$5:$F$50)*$G$5:$G$50+($G$5:$G$50&lt;=$F$5:$F$50)*$F$5:$F$50))</f>
        <v>1</v>
      </c>
      <c r="Q14" s="28" t="n">
        <f aca="false">SUMPRODUCT((($G$5:$G$50&lt;$G$5:$G$50)*$G$5:$G$50+($G$5:$G$50&gt;=$G$5:$G$50)*$G$5:$G$50))/SUMPRODUCT((($G$5:$G$50&gt;$G$5:$G$50)*$G$5:$G$50+($G$5:$G$50&lt;=$G$5:$G$50)*$G$5:$G$50))</f>
        <v>1</v>
      </c>
      <c r="R14" s="28" t="n">
        <f aca="false">SUMPRODUCT((($G$5:$G$50&lt;$H$5:$H$50)*$G$5:$G$50+($G$5:$G$50&gt;=$H$5:$H$50)*$H$5:$H$50))/SUMPRODUCT((($G$5:$G$50&gt;$H$5:$H$50)*$G$5:$G$50+($G$5:$G$50&lt;=$H$5:$H$50)*$H$5:$H$50))</f>
        <v>1</v>
      </c>
      <c r="S14" s="28" t="n">
        <f aca="false">SUMPRODUCT((($G$5:$G$50&lt;$I$5:$I$50)*$G$5:$G$50+($G$5:$G$50&gt;=$I$5:$I$50)*$I$5:$I$50))/SUMPRODUCT((($G$5:$G$50&gt;$I$5:$I$50)*$G$5:$G$50+($G$5:$G$50&lt;=$I$5:$I$50)*$I$5:$I$50))</f>
        <v>1</v>
      </c>
      <c r="T14" s="28" t="n">
        <f aca="false">SUMPRODUCT((($G$5:$G$50&lt;$J$5:$J$50)*$G$5:$G$50+($G$5:$G$50&gt;=$J$5:$J$50)*$J$5:$J$50))/SUMPRODUCT((($G$5:$G$50&gt;$J$5:$J$50)*$G$5:$G$50+($G$5:$G$50&lt;=$J$5:$J$50)*$J$5:$J$50))</f>
        <v>1</v>
      </c>
    </row>
    <row r="15" customFormat="false" ht="15" hidden="false" customHeight="false" outlineLevel="0" collapsed="false">
      <c r="A15" s="24" t="s">
        <v>132</v>
      </c>
      <c r="B15" s="25" t="s">
        <v>120</v>
      </c>
      <c r="C15" s="24" t="s">
        <v>101</v>
      </c>
      <c r="D15" s="25" t="s">
        <v>121</v>
      </c>
      <c r="E15" s="26" t="n">
        <v>1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4" t="n">
        <f aca="false">MIN(F15:J15)</f>
        <v>1</v>
      </c>
      <c r="L15" s="24" t="n">
        <f aca="false">MAX(F15:J15)</f>
        <v>1</v>
      </c>
      <c r="M15" s="24" t="n">
        <f aca="false">L15-K15</f>
        <v>0</v>
      </c>
      <c r="O15" s="27" t="s">
        <v>91</v>
      </c>
      <c r="P15" s="28" t="n">
        <f aca="false">SUMPRODUCT((($H$5:$H$50&lt;$F$5:$F$50)*$H$5:$H$50+($H$5:$H$50&gt;=$F$5:$F$50)*$F$5:$F$50))/SUMPRODUCT((($H$5:$H$50&gt;$F$5:$F$50)*$H$5:$H$50+($H$5:$H$50&lt;=$F$5:$F$50)*$F$5:$F$50))</f>
        <v>1</v>
      </c>
      <c r="Q15" s="28" t="n">
        <f aca="false">SUMPRODUCT((($H$5:$H$50&lt;$G$5:$G$50)*$H$5:$H$50+($H$5:$H$50&gt;=$G$5:$G$50)*$G$5:$G$50))/SUMPRODUCT((($H$5:$H$50&gt;$G$5:$G$50)*$H$5:$H$50+($H$5:$H$50&lt;=$G$5:$G$50)*$G$5:$G$50))</f>
        <v>1</v>
      </c>
      <c r="R15" s="28" t="n">
        <f aca="false">SUMPRODUCT((($H$5:$H$50&lt;$H$5:$H$50)*$H$5:$H$50+($H$5:$H$50&gt;=$H$5:$H$50)*$H$5:$H$50))/SUMPRODUCT((($H$5:$H$50&gt;$H$5:$H$50)*$H$5:$H$50+($H$5:$H$50&lt;=$H$5:$H$50)*$H$5:$H$50))</f>
        <v>1</v>
      </c>
      <c r="S15" s="28" t="n">
        <f aca="false">SUMPRODUCT((($H$5:$H$50&lt;$I$5:$I$50)*$H$5:$H$50+($H$5:$H$50&gt;=$I$5:$I$50)*$I$5:$I$50))/SUMPRODUCT((($H$5:$H$50&gt;$I$5:$I$50)*$H$5:$H$50+($H$5:$H$50&lt;=$I$5:$I$50)*$I$5:$I$50))</f>
        <v>1</v>
      </c>
      <c r="T15" s="28" t="n">
        <f aca="false">SUMPRODUCT((($H$5:$H$50&lt;$J$5:$J$50)*$H$5:$H$50+($H$5:$H$50&gt;=$J$5:$J$50)*$J$5:$J$50))/SUMPRODUCT((($H$5:$H$50&gt;$J$5:$J$50)*$H$5:$H$50+($H$5:$H$50&lt;=$J$5:$J$50)*$J$5:$J$50))</f>
        <v>1</v>
      </c>
    </row>
    <row r="16" customFormat="false" ht="35.05" hidden="false" customHeight="false" outlineLevel="0" collapsed="false">
      <c r="A16" s="24" t="s">
        <v>135</v>
      </c>
      <c r="B16" s="25" t="s">
        <v>194</v>
      </c>
      <c r="C16" s="24" t="s">
        <v>131</v>
      </c>
      <c r="D16" s="25" t="s">
        <v>105</v>
      </c>
      <c r="E16" s="26" t="n">
        <v>1</v>
      </c>
      <c r="F16" s="26" t="n">
        <v>1</v>
      </c>
      <c r="G16" s="26" t="n">
        <v>1</v>
      </c>
      <c r="H16" s="26" t="n">
        <v>1</v>
      </c>
      <c r="I16" s="26" t="n">
        <v>1</v>
      </c>
      <c r="J16" s="26" t="n">
        <v>1</v>
      </c>
      <c r="K16" s="24" t="n">
        <f aca="false">MIN(F16:J16)</f>
        <v>1</v>
      </c>
      <c r="L16" s="24" t="n">
        <f aca="false">MAX(F16:J16)</f>
        <v>1</v>
      </c>
      <c r="M16" s="24" t="n">
        <f aca="false">L16-K16</f>
        <v>0</v>
      </c>
      <c r="O16" s="27" t="s">
        <v>92</v>
      </c>
      <c r="P16" s="28" t="n">
        <f aca="false">SUMPRODUCT((($I$5:$I$50&lt;$F$5:$F$50)*$I$5:$I$50+($I$5:$I$50&gt;=$F$5:$F$50)*$F$5:$F$50))/SUMPRODUCT((($I$5:$I$50&gt;$F$5:$F$50)*$I$5:$I$50+($I$5:$I$50&lt;=$F$5:$F$50)*$F$5:$F$50))</f>
        <v>1</v>
      </c>
      <c r="Q16" s="28" t="n">
        <f aca="false">SUMPRODUCT((($I$5:$I$50&lt;$G$5:$G$50)*$I$5:$I$50+($I$5:$I$50&gt;=$G$5:$G$50)*$G$5:$G$50))/SUMPRODUCT((($I$5:$I$50&gt;$G$5:$G$50)*$I$5:$I$50+($I$5:$I$50&lt;=$G$5:$G$50)*$G$5:$G$50))</f>
        <v>1</v>
      </c>
      <c r="R16" s="28" t="n">
        <f aca="false">SUMPRODUCT((($I$5:$I$50&lt;$H$5:$H$50)*$I$5:$I$50+($I$5:$I$50&gt;=$H$5:$H$50)*$H$5:$H$50))/SUMPRODUCT((($I$5:$I$50&gt;$H$5:$H$50)*$I$5:$I$50+($I$5:$I$50&lt;=$H$5:$H$50)*$H$5:$H$50))</f>
        <v>1</v>
      </c>
      <c r="S16" s="28" t="n">
        <f aca="false">SUMPRODUCT((($I$5:$I$50&lt;$I$5:$I$50)*$I$5:$I$50+($I$5:$I$50&gt;=$I$5:$I$50)*$I$5:$I$50))/SUMPRODUCT((($I$5:$I$50&gt;$I$5:$I$50)*$I$5:$I$50+($I$5:$I$50&lt;=$I$5:$I$50)*$I$5:$I$50))</f>
        <v>1</v>
      </c>
      <c r="T16" s="28" t="n">
        <f aca="false">SUMPRODUCT((($I$5:$I$50&lt;$J$5:$J$50)*$I$5:$I$50+($I$5:$I$50&gt;=$J$5:$J$50)*$J$5:$J$50))/SUMPRODUCT((($I$5:$I$50&gt;$J$5:$J$50)*$I$5:$I$50+($I$5:$I$50&lt;=$J$5:$J$50)*$J$5:$J$50))</f>
        <v>1</v>
      </c>
    </row>
    <row r="17" customFormat="false" ht="15" hidden="false" customHeight="false" outlineLevel="0" collapsed="false">
      <c r="A17" s="24" t="s">
        <v>137</v>
      </c>
      <c r="B17" s="25" t="s">
        <v>105</v>
      </c>
      <c r="C17" s="24" t="s">
        <v>133</v>
      </c>
      <c r="D17" s="25" t="s">
        <v>134</v>
      </c>
      <c r="E17" s="26" t="n">
        <v>1</v>
      </c>
      <c r="F17" s="26" t="n">
        <v>1</v>
      </c>
      <c r="G17" s="26" t="n">
        <v>1</v>
      </c>
      <c r="H17" s="26" t="n">
        <v>1</v>
      </c>
      <c r="I17" s="26" t="n">
        <v>1</v>
      </c>
      <c r="J17" s="26" t="n">
        <v>1</v>
      </c>
      <c r="K17" s="24" t="n">
        <f aca="false">MIN(F17:J17)</f>
        <v>1</v>
      </c>
      <c r="L17" s="24" t="n">
        <f aca="false">MAX(F17:J17)</f>
        <v>1</v>
      </c>
      <c r="M17" s="24" t="n">
        <f aca="false">L17-K17</f>
        <v>0</v>
      </c>
      <c r="O17" s="27" t="s">
        <v>93</v>
      </c>
      <c r="P17" s="28" t="n">
        <f aca="false">SUMPRODUCT((($J$5:$J$50&lt;$F$5:$F$50)*$J$5:$J$50+($J$5:$J$50&gt;=$F$5:$F$50)*$F$5:$F$50))/SUMPRODUCT((($J$5:$J$50&gt;$F$5:$F$50)*$J$5:$J$50+($J$5:$J$50&lt;=$F$5:$F$50)*$F$5:$F$50))</f>
        <v>1</v>
      </c>
      <c r="Q17" s="28" t="n">
        <f aca="false">SUMPRODUCT((($J$5:$J$50&lt;$G$5:$G$50)*$J$5:$J$50+($J$5:$J$50&gt;=$G$5:$G$50)*$G$5:$G$50))/SUMPRODUCT((($J$5:$J$50&gt;$G$5:$G$50)*$J$5:$J$50+($J$5:$J$50&lt;=$G$5:$G$50)*$G$5:$G$50))</f>
        <v>1</v>
      </c>
      <c r="R17" s="28" t="n">
        <f aca="false">SUMPRODUCT((($J$5:$J$50&lt;$H$5:$H$50)*$J$5:$J$50+($J$5:$J$50&gt;=$H$5:$H$50)*$H$5:$H$50))/SUMPRODUCT((($J$5:$J$50&gt;$H$5:$H$50)*$J$5:$J$50+($J$5:$J$50&lt;=$H$5:$H$50)*$H$5:$H$50))</f>
        <v>1</v>
      </c>
      <c r="S17" s="28" t="n">
        <f aca="false">SUMPRODUCT((($J$5:$J$50&lt;$I$5:$I$50)*$J$5:$J$50+($J$5:$J$50&gt;=$I$5:$I$50)*$I$5:$I$50))/SUMPRODUCT((($J$5:$J$50&gt;$I$5:$I$50)*$J$5:$J$50+($J$5:$J$50&lt;=$I$5:$I$50)*$I$5:$I$50))</f>
        <v>1</v>
      </c>
      <c r="T17" s="28" t="n">
        <f aca="false">SUMPRODUCT((($J$5:$J$50&lt;$J$5:$J$50)*$J$5:$J$50+($J$5:$J$50&gt;=$J$5:$J$50)*$J$5:$J$50))/SUMPRODUCT((($J$5:$J$50&gt;$J$5:$J$50)*$J$5:$J$50+($J$5:$J$50&lt;=$J$5:$J$50)*$J$5:$J$50))</f>
        <v>1</v>
      </c>
    </row>
    <row r="18" customFormat="false" ht="15" hidden="false" customHeight="false" outlineLevel="0" collapsed="false">
      <c r="A18" s="24" t="s">
        <v>140</v>
      </c>
      <c r="B18" s="25" t="s">
        <v>109</v>
      </c>
      <c r="C18" s="24" t="s">
        <v>209</v>
      </c>
      <c r="D18" s="25" t="s">
        <v>202</v>
      </c>
      <c r="E18" s="26" t="n">
        <v>1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4" t="n">
        <f aca="false">MIN(F18:J18)</f>
        <v>1</v>
      </c>
      <c r="L18" s="24" t="n">
        <f aca="false">MAX(F18:J18)</f>
        <v>1</v>
      </c>
      <c r="M18" s="24" t="n">
        <f aca="false">L18-K18</f>
        <v>0</v>
      </c>
    </row>
    <row r="19" customFormat="false" ht="15" hidden="false" customHeight="false" outlineLevel="0" collapsed="false">
      <c r="A19" s="24" t="s">
        <v>141</v>
      </c>
      <c r="B19" s="25" t="s">
        <v>109</v>
      </c>
      <c r="C19" s="24" t="s">
        <v>209</v>
      </c>
      <c r="D19" s="25" t="s">
        <v>205</v>
      </c>
      <c r="E19" s="26" t="n">
        <v>1</v>
      </c>
      <c r="F19" s="26" t="n">
        <v>1</v>
      </c>
      <c r="G19" s="26" t="n">
        <v>1</v>
      </c>
      <c r="H19" s="26" t="n">
        <v>1</v>
      </c>
      <c r="I19" s="26" t="n">
        <v>1</v>
      </c>
      <c r="J19" s="26" t="n">
        <v>1</v>
      </c>
      <c r="K19" s="24" t="n">
        <f aca="false">MIN(F19:J19)</f>
        <v>1</v>
      </c>
      <c r="L19" s="24" t="n">
        <f aca="false">MAX(F19:J19)</f>
        <v>1</v>
      </c>
      <c r="M19" s="24" t="n">
        <f aca="false">L19-K19</f>
        <v>0</v>
      </c>
      <c r="O19" s="17" t="s">
        <v>142</v>
      </c>
    </row>
    <row r="20" customFormat="false" ht="15" hidden="false" customHeight="false" outlineLevel="0" collapsed="false">
      <c r="A20" s="24" t="s">
        <v>143</v>
      </c>
      <c r="B20" s="25" t="s">
        <v>109</v>
      </c>
      <c r="C20" s="24" t="s">
        <v>209</v>
      </c>
      <c r="D20" s="25" t="s">
        <v>207</v>
      </c>
      <c r="E20" s="26" t="n">
        <v>1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4" t="n">
        <f aca="false">MIN(F20:J20)</f>
        <v>1</v>
      </c>
      <c r="L20" s="24" t="n">
        <f aca="false">MAX(F20:J20)</f>
        <v>1</v>
      </c>
      <c r="M20" s="24" t="n">
        <f aca="false">L20-K20</f>
        <v>0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109</v>
      </c>
      <c r="C21" s="24" t="s">
        <v>136</v>
      </c>
      <c r="D21" s="25" t="s">
        <v>116</v>
      </c>
      <c r="E21" s="26" t="n">
        <v>1</v>
      </c>
      <c r="F21" s="26" t="n">
        <v>2</v>
      </c>
      <c r="G21" s="26" t="n">
        <v>2</v>
      </c>
      <c r="H21" s="26" t="n">
        <v>2</v>
      </c>
      <c r="I21" s="26" t="n">
        <v>2</v>
      </c>
      <c r="J21" s="26" t="n">
        <v>2</v>
      </c>
      <c r="K21" s="24" t="n">
        <f aca="false">MIN(F21:J21)</f>
        <v>2</v>
      </c>
      <c r="L21" s="24" t="n">
        <f aca="false">MAX(F21:J21)</f>
        <v>2</v>
      </c>
      <c r="M21" s="24" t="n">
        <f aca="false">L21-K21</f>
        <v>0</v>
      </c>
      <c r="O21" s="27" t="s">
        <v>89</v>
      </c>
      <c r="P21" s="28" t="n">
        <f aca="false">SUMPRODUCT($E$5:$E$50*(($F$5:$F$50&lt;$F$5:$F$50)*$F$5:$F$50+($F$5:$F$50&gt;=$F$5:$F$50)*$F$5:$F$50))/SUMPRODUCT($E$5:$E$50*(($F$5:$F$50&gt;$F$5:$F$50)*$F$5:$F$50+($F$5:$F$50&lt;=$F$5:$F$50)*$F$5:$F$50))</f>
        <v>1</v>
      </c>
      <c r="Q21" s="28" t="n">
        <f aca="false">SUMPRODUCT($E$5:$E$50*(($F$5:$F$50&lt;$G$5:$G$50)*$F$5:$F$50+($F$5:$F$50&gt;=$G$5:$G$50)*$G$5:$G$50))/SUMPRODUCT($E$5:$E$50*(($F$5:$F$50&gt;$G$5:$G$50)*$F$5:$F$50+($F$5:$F$50&lt;=$G$5:$G$50)*$G$5:$G$50))</f>
        <v>1</v>
      </c>
      <c r="R21" s="28" t="n">
        <f aca="false">SUMPRODUCT($E$5:$E$50*(($F$5:$F$50&lt;$H$5:$H$50)*$F$5:$F$50+($F$5:$F$50&gt;=$H$5:$H$50)*$H$5:$H$50))/SUMPRODUCT($E$5:$E$50*(($F$5:$F$50&gt;$H$5:$H$50)*$F$5:$F$50+($F$5:$F$50&lt;=$H$5:$H$50)*$H$5:$H$50))</f>
        <v>1</v>
      </c>
      <c r="S21" s="28" t="n">
        <f aca="false">SUMPRODUCT($E$5:$E$50*(($F$5:$F$50&lt;$I$5:$I$50)*$F$5:$F$50+($F$5:$F$50&gt;=$I$5:$I$50)*$I$5:$I$50))/SUMPRODUCT($E$5:$E$50*(($F$5:$F$50&gt;$I$5:$I$50)*$F$5:$F$50+($F$5:$F$50&lt;=$I$5:$I$50)*$I$5:$I$50))</f>
        <v>1</v>
      </c>
      <c r="T21" s="28" t="n">
        <f aca="false">SUMPRODUCT($E$5:$E$50*(($F$5:$F$50&lt;$J$5:$J$50)*$F$5:$F$50+($F$5:$F$50&gt;=$J$5:$J$50)*$J$5:$J$50))/SUMPRODUCT($E$5:$E$50*(($F$5:$F$50&gt;$J$5:$J$50)*$F$5:$F$50+($F$5:$F$50&lt;=$J$5:$J$50)*$J$5:$J$50))</f>
        <v>1</v>
      </c>
    </row>
    <row r="22" customFormat="false" ht="15" hidden="false" customHeight="false" outlineLevel="0" collapsed="false">
      <c r="A22" s="24" t="s">
        <v>146</v>
      </c>
      <c r="B22" s="25" t="s">
        <v>116</v>
      </c>
      <c r="C22" s="24" t="s">
        <v>124</v>
      </c>
      <c r="D22" s="25" t="s">
        <v>120</v>
      </c>
      <c r="E22" s="26" t="n">
        <v>1</v>
      </c>
      <c r="F22" s="26" t="n">
        <v>2</v>
      </c>
      <c r="G22" s="26" t="n">
        <v>2</v>
      </c>
      <c r="H22" s="26" t="n">
        <v>2</v>
      </c>
      <c r="I22" s="26" t="n">
        <v>2</v>
      </c>
      <c r="J22" s="26" t="n">
        <v>2</v>
      </c>
      <c r="K22" s="24" t="n">
        <f aca="false">MIN(F22:J22)</f>
        <v>2</v>
      </c>
      <c r="L22" s="24" t="n">
        <f aca="false">MAX(F22:J22)</f>
        <v>2</v>
      </c>
      <c r="M22" s="24" t="n">
        <f aca="false">L22-K22</f>
        <v>0</v>
      </c>
      <c r="O22" s="27" t="s">
        <v>90</v>
      </c>
      <c r="P22" s="28" t="n">
        <f aca="false">SUMPRODUCT($E$5:$E$50*(($G$5:$G$50&lt;$F$5:$F$50)*$G$5:$G$50+($G$5:$G$50&gt;=$F$5:$F$50)*$F$5:$F$50))/SUMPRODUCT($E$5:$E$50*(($G$5:$G$50&gt;$F$5:$F$50)*$G$5:$G$50+($G$5:$G$50&lt;=$F$5:$F$50)*$F$5:$F$50))</f>
        <v>1</v>
      </c>
      <c r="Q22" s="28" t="n">
        <f aca="false">SUMPRODUCT($E$5:$E$50*(($G$5:$G$50&lt;$G$5:$G$50)*$G$5:$G$50+($G$5:$G$50&gt;=$G$5:$G$50)*$G$5:$G$50))/SUMPRODUCT($E$5:$E$50*(($G$5:$G$50&gt;$G$5:$G$50)*$G$5:$G$50+($G$5:$G$50&lt;=$G$5:$G$50)*$G$5:$G$50))</f>
        <v>1</v>
      </c>
      <c r="R22" s="28" t="n">
        <f aca="false">SUMPRODUCT($E$5:$E$50*(($G$5:$G$50&lt;$H$5:$H$50)*$G$5:$G$50+($G$5:$G$50&gt;=$H$5:$H$50)*$H$5:$H$50))/SUMPRODUCT($E$5:$E$50*(($G$5:$G$50&gt;$H$5:$H$50)*$G$5:$G$50+($G$5:$G$50&lt;=$H$5:$H$50)*$H$5:$H$50))</f>
        <v>1</v>
      </c>
      <c r="S22" s="28" t="n">
        <f aca="false">SUMPRODUCT($E$5:$E$50*(($G$5:$G$50&lt;$I$5:$I$50)*$G$5:$G$50+($G$5:$G$50&gt;=$I$5:$I$50)*$I$5:$I$50))/SUMPRODUCT($E$5:$E$50*(($G$5:$G$50&gt;$I$5:$I$50)*$G$5:$G$50+($G$5:$G$50&lt;=$I$5:$I$50)*$I$5:$I$50))</f>
        <v>1</v>
      </c>
      <c r="T22" s="28" t="n">
        <f aca="false">SUMPRODUCT($E$5:$E$50*(($G$5:$G$50&lt;$J$5:$J$50)*$G$5:$G$50+($G$5:$G$50&gt;=$J$5:$J$50)*$J$5:$J$50))/SUMPRODUCT($E$5:$E$50*(($G$5:$G$50&gt;$J$5:$J$50)*$G$5:$G$50+($G$5:$G$50&lt;=$J$5:$J$50)*$J$5:$J$50))</f>
        <v>1</v>
      </c>
    </row>
    <row r="23" customFormat="false" ht="23.85" hidden="false" customHeight="false" outlineLevel="0" collapsed="false">
      <c r="A23" s="24" t="s">
        <v>147</v>
      </c>
      <c r="B23" s="25" t="s">
        <v>116</v>
      </c>
      <c r="C23" s="24" t="s">
        <v>127</v>
      </c>
      <c r="D23" s="25" t="s">
        <v>194</v>
      </c>
      <c r="E23" s="26" t="n">
        <v>1</v>
      </c>
      <c r="F23" s="26" t="n">
        <v>2</v>
      </c>
      <c r="G23" s="26" t="n">
        <v>2</v>
      </c>
      <c r="H23" s="26" t="n">
        <v>2</v>
      </c>
      <c r="I23" s="26" t="n">
        <v>2</v>
      </c>
      <c r="J23" s="26" t="n">
        <v>2</v>
      </c>
      <c r="K23" s="24" t="n">
        <f aca="false">MIN(F23:J23)</f>
        <v>2</v>
      </c>
      <c r="L23" s="24" t="n">
        <f aca="false">MAX(F23:J23)</f>
        <v>2</v>
      </c>
      <c r="M23" s="24" t="n">
        <f aca="false">L23-K23</f>
        <v>0</v>
      </c>
      <c r="O23" s="27" t="s">
        <v>91</v>
      </c>
      <c r="P23" s="28" t="n">
        <f aca="false">SUMPRODUCT($E$5:$E$50*(($H$5:$H$50&lt;$F$5:$F$50)*$H$5:$H$50+($H$5:$H$50&gt;=$F$5:$F$50)*$F$5:$F$50))/SUMPRODUCT($E$5:$E$50*(($H$5:$H$50&gt;$F$5:$F$50)*$H$5:$H$50+($H$5:$H$50&lt;=$F$5:$F$50)*$F$5:$F$50))</f>
        <v>1</v>
      </c>
      <c r="Q23" s="28" t="n">
        <f aca="false">SUMPRODUCT($E$5:$E$50*(($H$5:$H$50&lt;$G$5:$G$50)*$H$5:$H$50+($H$5:$H$50&gt;=$G$5:$G$50)*$G$5:$G$50))/SUMPRODUCT($E$5:$E$50*(($H$5:$H$50&gt;$G$5:$G$50)*$H$5:$H$50+($H$5:$H$50&lt;=$G$5:$G$50)*$G$5:$G$50))</f>
        <v>1</v>
      </c>
      <c r="R23" s="28" t="n">
        <f aca="false">SUMPRODUCT($E$5:$E$50*(($H$5:$H$50&lt;$H$5:$H$50)*$H$5:$H$50+($H$5:$H$50&gt;=$H$5:$H$50)*$H$5:$H$50))/SUMPRODUCT($E$5:$E$50*(($H$5:$H$50&gt;$H$5:$H$50)*$H$5:$H$50+($H$5:$H$50&lt;=$H$5:$H$50)*$H$5:$H$50))</f>
        <v>1</v>
      </c>
      <c r="S23" s="28" t="n">
        <f aca="false">SUMPRODUCT($E$5:$E$50*(($H$5:$H$50&lt;$I$5:$I$50)*$H$5:$H$50+($H$5:$H$50&gt;=$I$5:$I$50)*$I$5:$I$50))/SUMPRODUCT($E$5:$E$50*(($H$5:$H$50&gt;$I$5:$I$50)*$H$5:$H$50+($H$5:$H$50&lt;=$I$5:$I$50)*$I$5:$I$50))</f>
        <v>1</v>
      </c>
      <c r="T23" s="28" t="n">
        <f aca="false">SUMPRODUCT($E$5:$E$50*(($H$5:$H$50&lt;$J$5:$J$50)*$H$5:$H$50+($H$5:$H$50&gt;=$J$5:$J$50)*$J$5:$J$50))/SUMPRODUCT($E$5:$E$50*(($H$5:$H$50&gt;$J$5:$J$50)*$H$5:$H$50+($H$5:$H$50&lt;=$J$5:$J$50)*$J$5:$J$50))</f>
        <v>1</v>
      </c>
    </row>
    <row r="24" customFormat="false" ht="15" hidden="false" customHeight="false" outlineLevel="0" collapsed="false">
      <c r="A24" s="24" t="s">
        <v>148</v>
      </c>
      <c r="B24" s="25" t="s">
        <v>102</v>
      </c>
      <c r="C24" s="24" t="s">
        <v>101</v>
      </c>
      <c r="D24" s="25" t="s">
        <v>145</v>
      </c>
      <c r="E24" s="26" t="n">
        <v>0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4" t="n">
        <f aca="false">MIN(F24:J24)</f>
        <v>1</v>
      </c>
      <c r="L24" s="24" t="n">
        <f aca="false">MAX(F24:J24)</f>
        <v>1</v>
      </c>
      <c r="M24" s="24" t="n">
        <f aca="false">L24-K24</f>
        <v>0</v>
      </c>
      <c r="O24" s="27" t="s">
        <v>92</v>
      </c>
      <c r="P24" s="28" t="n">
        <f aca="false">SUMPRODUCT($E$5:$E$50*(($I$5:$I$50&lt;$F$5:$F$50)*$I$5:$I$50+($I$5:$I$50&gt;=$F$5:$F$50)*$F$5:$F$50))/SUMPRODUCT($E$5:$E$50*(($I$5:$I$50&gt;$F$5:$F$50)*$I$5:$I$50+($I$5:$I$50&lt;=$F$5:$F$50)*$F$5:$F$50))</f>
        <v>1</v>
      </c>
      <c r="Q24" s="28" t="n">
        <f aca="false">SUMPRODUCT($E$5:$E$50*(($I$5:$I$50&lt;$G$5:$G$50)*$I$5:$I$50+($I$5:$I$50&gt;=$G$5:$G$50)*$G$5:$G$50))/SUMPRODUCT($E$5:$E$50*(($I$5:$I$50&gt;$G$5:$G$50)*$I$5:$I$50+($I$5:$I$50&lt;=$G$5:$G$50)*$G$5:$G$50))</f>
        <v>1</v>
      </c>
      <c r="R24" s="28" t="n">
        <f aca="false">SUMPRODUCT($E$5:$E$50*(($I$5:$I$50&lt;$H$5:$H$50)*$I$5:$I$50+($I$5:$I$50&gt;=$H$5:$H$50)*$H$5:$H$50))/SUMPRODUCT($E$5:$E$50*(($I$5:$I$50&gt;$H$5:$H$50)*$I$5:$I$50+($I$5:$I$50&lt;=$H$5:$H$50)*$H$5:$H$50))</f>
        <v>1</v>
      </c>
      <c r="S24" s="28" t="n">
        <f aca="false">SUMPRODUCT($E$5:$E$50*(($I$5:$I$50&lt;$I$5:$I$50)*$I$5:$I$50+($I$5:$I$50&gt;=$I$5:$I$50)*$I$5:$I$50))/SUMPRODUCT($E$5:$E$50*(($I$5:$I$50&gt;$I$5:$I$50)*$I$5:$I$50+($I$5:$I$50&lt;=$I$5:$I$50)*$I$5:$I$50))</f>
        <v>1</v>
      </c>
      <c r="T24" s="28" t="n">
        <f aca="false">SUMPRODUCT($E$5:$E$50*(($I$5:$I$50&lt;$J$5:$J$50)*$I$5:$I$50+($I$5:$I$50&gt;=$J$5:$J$50)*$J$5:$J$50))/SUMPRODUCT($E$5:$E$50*(($I$5:$I$50&gt;$J$5:$J$50)*$I$5:$I$50+($I$5:$I$50&lt;=$J$5:$J$50)*$J$5:$J$50))</f>
        <v>1</v>
      </c>
    </row>
    <row r="25" customFormat="false" ht="15" hidden="false" customHeight="false" outlineLevel="0" collapsed="false">
      <c r="A25" s="24" t="s">
        <v>149</v>
      </c>
      <c r="B25" s="25" t="s">
        <v>203</v>
      </c>
      <c r="C25" s="24" t="s">
        <v>101</v>
      </c>
      <c r="D25" s="25" t="s">
        <v>145</v>
      </c>
      <c r="E25" s="26" t="n">
        <v>0</v>
      </c>
      <c r="F25" s="26" t="n">
        <v>1</v>
      </c>
      <c r="G25" s="26" t="n">
        <v>1</v>
      </c>
      <c r="H25" s="26" t="n">
        <v>1</v>
      </c>
      <c r="I25" s="26" t="n">
        <v>1</v>
      </c>
      <c r="J25" s="26" t="n">
        <v>1</v>
      </c>
      <c r="K25" s="24" t="n">
        <f aca="false">MIN(F25:J25)</f>
        <v>1</v>
      </c>
      <c r="L25" s="24" t="n">
        <f aca="false">MAX(F25:J25)</f>
        <v>1</v>
      </c>
      <c r="M25" s="24" t="n">
        <f aca="false">L25-K25</f>
        <v>0</v>
      </c>
      <c r="O25" s="27" t="s">
        <v>93</v>
      </c>
      <c r="P25" s="28" t="n">
        <f aca="false">SUMPRODUCT($E$5:$E$50*(($J$5:$J$50&lt;$F$5:$F$50)*$J$5:$J$50+($J$5:$J$50&gt;=$F$5:$F$50)*$F$5:$F$50))/SUMPRODUCT($E$5:$E$50*(($J$5:$J$50&gt;$F$5:$F$50)*$J$5:$J$50+($J$5:$J$50&lt;=$F$5:$F$50)*$F$5:$F$50))</f>
        <v>1</v>
      </c>
      <c r="Q25" s="28" t="n">
        <f aca="false">SUMPRODUCT($E$5:$E$50*(($J$5:$J$50&lt;$G$5:$G$50)*$J$5:$J$50+($J$5:$J$50&gt;=$G$5:$G$50)*$G$5:$G$50))/SUMPRODUCT($E$5:$E$50*(($J$5:$J$50&gt;$G$5:$G$50)*$J$5:$J$50+($J$5:$J$50&lt;=$G$5:$G$50)*$G$5:$G$50))</f>
        <v>1</v>
      </c>
      <c r="R25" s="28" t="n">
        <f aca="false">SUMPRODUCT($E$5:$E$50*(($J$5:$J$50&lt;$H$5:$H$50)*$J$5:$J$50+($J$5:$J$50&gt;=$H$5:$H$50)*$H$5:$H$50))/SUMPRODUCT($E$5:$E$50*(($J$5:$J$50&gt;$H$5:$H$50)*$J$5:$J$50+($J$5:$J$50&lt;=$H$5:$H$50)*$H$5:$H$50))</f>
        <v>1</v>
      </c>
      <c r="S25" s="28" t="n">
        <f aca="false">SUMPRODUCT($E$5:$E$50*(($J$5:$J$50&lt;$I$5:$I$50)*$J$5:$J$50+($J$5:$J$50&gt;=$I$5:$I$50)*$I$5:$I$50))/SUMPRODUCT($E$5:$E$50*(($J$5:$J$50&gt;$I$5:$I$50)*$J$5:$J$50+($J$5:$J$50&lt;=$I$5:$I$50)*$I$5:$I$50))</f>
        <v>1</v>
      </c>
      <c r="T25" s="28" t="n">
        <f aca="false">SUMPRODUCT($E$5:$E$50*(($J$5:$J$50&lt;$J$5:$J$50)*$J$5:$J$50+($J$5:$J$50&gt;=$J$5:$J$50)*$J$5:$J$50))/SUMPRODUCT($E$5:$E$50*(($J$5:$J$50&gt;$J$5:$J$50)*$J$5:$J$50+($J$5:$J$50&lt;=$J$5:$J$50)*$J$5:$J$50))</f>
        <v>1</v>
      </c>
    </row>
    <row r="26" customFormat="false" ht="15" hidden="false" customHeight="false" outlineLevel="0" collapsed="false">
      <c r="A26" s="24" t="s">
        <v>150</v>
      </c>
      <c r="B26" s="25" t="s">
        <v>196</v>
      </c>
      <c r="C26" s="24" t="s">
        <v>101</v>
      </c>
      <c r="D26" s="25" t="s">
        <v>145</v>
      </c>
      <c r="E26" s="26" t="n">
        <v>0</v>
      </c>
      <c r="F26" s="26" t="n">
        <v>1</v>
      </c>
      <c r="G26" s="26" t="n">
        <v>1</v>
      </c>
      <c r="H26" s="26" t="n">
        <v>1</v>
      </c>
      <c r="I26" s="26" t="n">
        <v>1</v>
      </c>
      <c r="J26" s="26" t="n">
        <v>1</v>
      </c>
      <c r="K26" s="24" t="n">
        <f aca="false">MIN(F26:J26)</f>
        <v>1</v>
      </c>
      <c r="L26" s="24" t="n">
        <f aca="false">MAX(F26:J26)</f>
        <v>1</v>
      </c>
      <c r="M26" s="24" t="n">
        <f aca="false">L26-K26</f>
        <v>0</v>
      </c>
    </row>
    <row r="27" customFormat="false" ht="15" hidden="false" customHeight="false" outlineLevel="0" collapsed="false">
      <c r="A27" s="24" t="s">
        <v>152</v>
      </c>
      <c r="B27" s="25" t="s">
        <v>206</v>
      </c>
      <c r="C27" s="24" t="s">
        <v>101</v>
      </c>
      <c r="D27" s="25" t="s">
        <v>145</v>
      </c>
      <c r="E27" s="26" t="n">
        <v>0</v>
      </c>
      <c r="F27" s="26" t="n">
        <v>1</v>
      </c>
      <c r="G27" s="26" t="n">
        <v>1</v>
      </c>
      <c r="H27" s="26" t="n">
        <v>1</v>
      </c>
      <c r="I27" s="26" t="n">
        <v>1</v>
      </c>
      <c r="J27" s="26" t="n">
        <v>1</v>
      </c>
      <c r="K27" s="24" t="n">
        <f aca="false">MIN(F27:J27)</f>
        <v>1</v>
      </c>
      <c r="L27" s="24" t="n">
        <f aca="false">MAX(F27:J27)</f>
        <v>1</v>
      </c>
      <c r="M27" s="24" t="n">
        <f aca="false">L27-K27</f>
        <v>0</v>
      </c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A28" s="24" t="s">
        <v>153</v>
      </c>
      <c r="B28" s="25" t="s">
        <v>198</v>
      </c>
      <c r="C28" s="24" t="s">
        <v>101</v>
      </c>
      <c r="D28" s="25" t="s">
        <v>145</v>
      </c>
      <c r="E28" s="26" t="n">
        <v>0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4" t="n">
        <f aca="false">MIN(F28:J28)</f>
        <v>1</v>
      </c>
      <c r="L28" s="24" t="n">
        <f aca="false">MAX(F28:J28)</f>
        <v>1</v>
      </c>
      <c r="M28" s="24" t="n">
        <f aca="false">L28-K28</f>
        <v>0</v>
      </c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A29" s="24" t="s">
        <v>156</v>
      </c>
      <c r="B29" s="25" t="s">
        <v>200</v>
      </c>
      <c r="C29" s="24" t="s">
        <v>101</v>
      </c>
      <c r="D29" s="25" t="s">
        <v>145</v>
      </c>
      <c r="E29" s="26" t="n">
        <v>0</v>
      </c>
      <c r="F29" s="26" t="n">
        <v>1</v>
      </c>
      <c r="G29" s="26" t="n">
        <v>1</v>
      </c>
      <c r="H29" s="26" t="n">
        <v>1</v>
      </c>
      <c r="I29" s="26" t="n">
        <v>1</v>
      </c>
      <c r="J29" s="26" t="n">
        <v>1</v>
      </c>
      <c r="K29" s="24" t="n">
        <f aca="false">MIN(F29:J29)</f>
        <v>1</v>
      </c>
      <c r="L29" s="24" t="n">
        <f aca="false">MAX(F29:J29)</f>
        <v>1</v>
      </c>
      <c r="M29" s="24" t="n">
        <f aca="false">L29-K29</f>
        <v>0</v>
      </c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A30" s="24" t="s">
        <v>158</v>
      </c>
      <c r="B30" s="25" t="s">
        <v>106</v>
      </c>
      <c r="C30" s="24" t="s">
        <v>101</v>
      </c>
      <c r="D30" s="25" t="s">
        <v>145</v>
      </c>
      <c r="E30" s="26" t="n">
        <v>0</v>
      </c>
      <c r="F30" s="26" t="n">
        <v>1</v>
      </c>
      <c r="G30" s="26" t="n">
        <v>1</v>
      </c>
      <c r="H30" s="26" t="n">
        <v>1</v>
      </c>
      <c r="I30" s="26" t="n">
        <v>1</v>
      </c>
      <c r="J30" s="26" t="n">
        <v>1</v>
      </c>
      <c r="K30" s="24" t="n">
        <f aca="false">MIN(F30:J30)</f>
        <v>1</v>
      </c>
      <c r="L30" s="24" t="n">
        <f aca="false">MAX(F30:J30)</f>
        <v>1</v>
      </c>
      <c r="M30" s="24" t="n">
        <f aca="false">L30-K30</f>
        <v>0</v>
      </c>
      <c r="O30" s="22" t="s">
        <v>74</v>
      </c>
      <c r="P30" s="12" t="n">
        <f aca="false">S13</f>
        <v>1</v>
      </c>
      <c r="Q30" s="12" t="n">
        <f aca="false">S21</f>
        <v>1</v>
      </c>
    </row>
    <row r="31" customFormat="false" ht="15" hidden="false" customHeight="false" outlineLevel="0" collapsed="false">
      <c r="A31" s="24" t="s">
        <v>159</v>
      </c>
      <c r="B31" s="25" t="s">
        <v>113</v>
      </c>
      <c r="C31" s="24" t="s">
        <v>101</v>
      </c>
      <c r="D31" s="25" t="s">
        <v>145</v>
      </c>
      <c r="E31" s="26" t="n">
        <v>0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4" t="n">
        <f aca="false">MIN(F31:J31)</f>
        <v>1</v>
      </c>
      <c r="L31" s="24" t="n">
        <f aca="false">MAX(F31:J31)</f>
        <v>1</v>
      </c>
      <c r="M31" s="24" t="n">
        <f aca="false">L31-K31</f>
        <v>0</v>
      </c>
      <c r="O31" s="22" t="s">
        <v>75</v>
      </c>
      <c r="P31" s="12" t="n">
        <f aca="false">T13</f>
        <v>1</v>
      </c>
      <c r="Q31" s="12" t="n">
        <f aca="false">T21</f>
        <v>1</v>
      </c>
    </row>
    <row r="32" customFormat="false" ht="15" hidden="false" customHeight="false" outlineLevel="0" collapsed="false">
      <c r="A32" s="24" t="s">
        <v>160</v>
      </c>
      <c r="B32" s="25" t="s">
        <v>208</v>
      </c>
      <c r="C32" s="24" t="s">
        <v>101</v>
      </c>
      <c r="D32" s="25" t="s">
        <v>145</v>
      </c>
      <c r="E32" s="26" t="n">
        <v>0</v>
      </c>
      <c r="F32" s="26" t="n">
        <v>1</v>
      </c>
      <c r="G32" s="26" t="n">
        <v>1</v>
      </c>
      <c r="H32" s="26" t="n">
        <v>1</v>
      </c>
      <c r="I32" s="26" t="n">
        <v>1</v>
      </c>
      <c r="J32" s="26" t="n">
        <v>1</v>
      </c>
      <c r="K32" s="24" t="n">
        <f aca="false">MIN(F32:J32)</f>
        <v>1</v>
      </c>
      <c r="L32" s="24" t="n">
        <f aca="false">MAX(F32:J32)</f>
        <v>1</v>
      </c>
      <c r="M32" s="24" t="n">
        <f aca="false">L32-K32</f>
        <v>0</v>
      </c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A33" s="24" t="s">
        <v>161</v>
      </c>
      <c r="B33" s="25" t="s">
        <v>117</v>
      </c>
      <c r="C33" s="24" t="s">
        <v>101</v>
      </c>
      <c r="D33" s="25" t="s">
        <v>145</v>
      </c>
      <c r="E33" s="26" t="n">
        <v>0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4" t="n">
        <f aca="false">MIN(F33:J33)</f>
        <v>1</v>
      </c>
      <c r="L33" s="24" t="n">
        <f aca="false">MAX(F33:J33)</f>
        <v>1</v>
      </c>
      <c r="M33" s="24" t="n">
        <f aca="false">L33-K33</f>
        <v>0</v>
      </c>
      <c r="O33" s="22" t="s">
        <v>77</v>
      </c>
      <c r="P33" s="12" t="n">
        <f aca="false">S14</f>
        <v>1</v>
      </c>
      <c r="Q33" s="12" t="n">
        <f aca="false">S22</f>
        <v>1</v>
      </c>
    </row>
    <row r="34" customFormat="false" ht="15" hidden="false" customHeight="false" outlineLevel="0" collapsed="false">
      <c r="A34" s="24" t="s">
        <v>163</v>
      </c>
      <c r="B34" s="25" t="s">
        <v>121</v>
      </c>
      <c r="C34" s="24" t="s">
        <v>101</v>
      </c>
      <c r="D34" s="25" t="s">
        <v>145</v>
      </c>
      <c r="E34" s="26" t="n">
        <v>0</v>
      </c>
      <c r="F34" s="26" t="n">
        <v>1</v>
      </c>
      <c r="G34" s="26" t="n">
        <v>1</v>
      </c>
      <c r="H34" s="26" t="n">
        <v>1</v>
      </c>
      <c r="I34" s="26" t="n">
        <v>1</v>
      </c>
      <c r="J34" s="26" t="n">
        <v>1</v>
      </c>
      <c r="K34" s="24" t="n">
        <f aca="false">MIN(F34:J34)</f>
        <v>1</v>
      </c>
      <c r="L34" s="24" t="n">
        <f aca="false">MAX(F34:J34)</f>
        <v>1</v>
      </c>
      <c r="M34" s="24" t="n">
        <f aca="false">L34-K34</f>
        <v>0</v>
      </c>
      <c r="O34" s="22" t="s">
        <v>78</v>
      </c>
      <c r="P34" s="12" t="n">
        <f aca="false">T14</f>
        <v>1</v>
      </c>
      <c r="Q34" s="12" t="n">
        <f aca="false">T22</f>
        <v>1</v>
      </c>
    </row>
    <row r="35" customFormat="false" ht="15" hidden="false" customHeight="false" outlineLevel="0" collapsed="false">
      <c r="A35" s="24" t="s">
        <v>166</v>
      </c>
      <c r="B35" s="25" t="s">
        <v>124</v>
      </c>
      <c r="C35" s="24" t="s">
        <v>101</v>
      </c>
      <c r="D35" s="25" t="s">
        <v>151</v>
      </c>
      <c r="E35" s="26" t="n">
        <v>0</v>
      </c>
      <c r="F35" s="26" t="n">
        <v>1</v>
      </c>
      <c r="G35" s="26" t="n">
        <v>1</v>
      </c>
      <c r="H35" s="26" t="n">
        <v>1</v>
      </c>
      <c r="I35" s="26" t="n">
        <v>1</v>
      </c>
      <c r="J35" s="26" t="n">
        <v>1</v>
      </c>
      <c r="K35" s="24" t="n">
        <f aca="false">MIN(F35:J35)</f>
        <v>1</v>
      </c>
      <c r="L35" s="24" t="n">
        <f aca="false">MAX(F35:J35)</f>
        <v>1</v>
      </c>
      <c r="M35" s="24" t="n">
        <f aca="false">L35-K35</f>
        <v>0</v>
      </c>
      <c r="O35" s="22" t="s">
        <v>79</v>
      </c>
      <c r="P35" s="12" t="n">
        <f aca="false">S15</f>
        <v>1</v>
      </c>
      <c r="Q35" s="12" t="n">
        <f aca="false">S23</f>
        <v>1</v>
      </c>
    </row>
    <row r="36" customFormat="false" ht="15" hidden="false" customHeight="false" outlineLevel="0" collapsed="false">
      <c r="A36" s="24" t="s">
        <v>167</v>
      </c>
      <c r="B36" s="25" t="s">
        <v>209</v>
      </c>
      <c r="C36" s="24" t="s">
        <v>101</v>
      </c>
      <c r="D36" s="25" t="s">
        <v>151</v>
      </c>
      <c r="E36" s="26" t="n">
        <v>0</v>
      </c>
      <c r="F36" s="26" t="n">
        <v>1</v>
      </c>
      <c r="G36" s="26" t="n">
        <v>1</v>
      </c>
      <c r="H36" s="26" t="n">
        <v>1</v>
      </c>
      <c r="I36" s="26" t="n">
        <v>1</v>
      </c>
      <c r="J36" s="26" t="n">
        <v>1</v>
      </c>
      <c r="K36" s="24" t="n">
        <f aca="false">MIN(F36:J36)</f>
        <v>1</v>
      </c>
      <c r="L36" s="24" t="n">
        <f aca="false">MAX(F36:J36)</f>
        <v>1</v>
      </c>
      <c r="M36" s="24" t="n">
        <f aca="false">L36-K36</f>
        <v>0</v>
      </c>
      <c r="O36" s="22" t="s">
        <v>80</v>
      </c>
      <c r="P36" s="12" t="n">
        <f aca="false">T15</f>
        <v>1</v>
      </c>
      <c r="Q36" s="12" t="n">
        <f aca="false">T23</f>
        <v>1</v>
      </c>
    </row>
    <row r="37" customFormat="false" ht="15" hidden="false" customHeight="false" outlineLevel="0" collapsed="false">
      <c r="A37" s="24" t="s">
        <v>168</v>
      </c>
      <c r="B37" s="25" t="s">
        <v>131</v>
      </c>
      <c r="C37" s="24" t="s">
        <v>101</v>
      </c>
      <c r="D37" s="25" t="s">
        <v>151</v>
      </c>
      <c r="E37" s="26" t="n">
        <v>0</v>
      </c>
      <c r="F37" s="26" t="n">
        <v>1</v>
      </c>
      <c r="G37" s="26" t="n">
        <v>1</v>
      </c>
      <c r="H37" s="26" t="n">
        <v>1</v>
      </c>
      <c r="I37" s="26" t="n">
        <v>1</v>
      </c>
      <c r="J37" s="26" t="n">
        <v>1</v>
      </c>
      <c r="K37" s="24" t="n">
        <f aca="false">MIN(F37:J37)</f>
        <v>1</v>
      </c>
      <c r="L37" s="24" t="n">
        <f aca="false">MAX(F37:J37)</f>
        <v>1</v>
      </c>
      <c r="M37" s="24" t="n">
        <f aca="false">L37-K37</f>
        <v>0</v>
      </c>
      <c r="O37" s="22" t="s">
        <v>81</v>
      </c>
      <c r="P37" s="12" t="n">
        <f aca="false">T16</f>
        <v>1</v>
      </c>
      <c r="Q37" s="12" t="n">
        <f aca="false">T24</f>
        <v>1</v>
      </c>
    </row>
    <row r="38" customFormat="false" ht="15" hidden="false" customHeight="false" outlineLevel="0" collapsed="false">
      <c r="A38" s="24" t="s">
        <v>169</v>
      </c>
      <c r="B38" s="25" t="s">
        <v>154</v>
      </c>
      <c r="C38" s="24" t="s">
        <v>101</v>
      </c>
      <c r="D38" s="25" t="s">
        <v>155</v>
      </c>
      <c r="E38" s="26" t="n">
        <v>0</v>
      </c>
      <c r="F38" s="26" t="n">
        <v>1</v>
      </c>
      <c r="G38" s="26" t="n">
        <v>1</v>
      </c>
      <c r="H38" s="26" t="n">
        <v>1</v>
      </c>
      <c r="I38" s="26" t="n">
        <v>1</v>
      </c>
      <c r="J38" s="26" t="n">
        <v>1</v>
      </c>
      <c r="K38" s="24" t="n">
        <f aca="false">MIN(F38:J38)</f>
        <v>1</v>
      </c>
      <c r="L38" s="24" t="n">
        <f aca="false">MAX(F38:J38)</f>
        <v>1</v>
      </c>
      <c r="M38" s="24" t="n">
        <f aca="false">L38-K38</f>
        <v>0</v>
      </c>
    </row>
    <row r="39" customFormat="false" ht="15" hidden="false" customHeight="false" outlineLevel="0" collapsed="false">
      <c r="A39" s="24" t="s">
        <v>170</v>
      </c>
      <c r="B39" s="25" t="s">
        <v>157</v>
      </c>
      <c r="C39" s="24" t="s">
        <v>101</v>
      </c>
      <c r="D39" s="25" t="s">
        <v>155</v>
      </c>
      <c r="E39" s="26" t="n">
        <v>0</v>
      </c>
      <c r="F39" s="26" t="n">
        <v>1</v>
      </c>
      <c r="G39" s="26" t="n">
        <v>1</v>
      </c>
      <c r="H39" s="26" t="n">
        <v>1</v>
      </c>
      <c r="I39" s="26" t="n">
        <v>1</v>
      </c>
      <c r="J39" s="26" t="n">
        <v>1</v>
      </c>
      <c r="K39" s="24" t="n">
        <f aca="false">MIN(F39:J39)</f>
        <v>1</v>
      </c>
      <c r="L39" s="24" t="n">
        <f aca="false">MAX(F39:J39)</f>
        <v>1</v>
      </c>
      <c r="M39" s="24" t="n">
        <f aca="false">L39-K39</f>
        <v>0</v>
      </c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A40" s="24" t="s">
        <v>174</v>
      </c>
      <c r="B40" s="25" t="s">
        <v>127</v>
      </c>
      <c r="C40" s="24" t="s">
        <v>101</v>
      </c>
      <c r="D40" s="25" t="s">
        <v>151</v>
      </c>
      <c r="E40" s="26" t="n">
        <v>0</v>
      </c>
      <c r="F40" s="26" t="n">
        <v>1</v>
      </c>
      <c r="G40" s="26" t="n">
        <v>1</v>
      </c>
      <c r="H40" s="26" t="n">
        <v>1</v>
      </c>
      <c r="I40" s="26" t="n">
        <v>1</v>
      </c>
      <c r="J40" s="26" t="n">
        <v>1</v>
      </c>
      <c r="K40" s="24" t="n">
        <f aca="false">MIN(F40:J40)</f>
        <v>1</v>
      </c>
      <c r="L40" s="24" t="n">
        <f aca="false">MAX(F40:J40)</f>
        <v>1</v>
      </c>
      <c r="M40" s="24" t="n">
        <f aca="false">L40-K40</f>
        <v>0</v>
      </c>
      <c r="O40" s="8" t="s">
        <v>175</v>
      </c>
      <c r="P40" s="12" t="n">
        <f aca="false">AVERAGE(P28:P37)</f>
        <v>1</v>
      </c>
      <c r="Q40" s="12" t="n">
        <f aca="false">AVERAGE(Q28:Q37)</f>
        <v>1</v>
      </c>
    </row>
    <row r="41" customFormat="false" ht="15" hidden="false" customHeight="false" outlineLevel="0" collapsed="false">
      <c r="A41" s="24" t="s">
        <v>176</v>
      </c>
      <c r="B41" s="25" t="s">
        <v>136</v>
      </c>
      <c r="C41" s="24" t="s">
        <v>101</v>
      </c>
      <c r="D41" s="25" t="s">
        <v>151</v>
      </c>
      <c r="E41" s="26" t="n">
        <v>0</v>
      </c>
      <c r="F41" s="26" t="n">
        <v>1</v>
      </c>
      <c r="G41" s="26" t="n">
        <v>1</v>
      </c>
      <c r="H41" s="26" t="n">
        <v>1</v>
      </c>
      <c r="I41" s="26" t="n">
        <v>1</v>
      </c>
      <c r="J41" s="26" t="n">
        <v>1</v>
      </c>
      <c r="K41" s="24" t="n">
        <f aca="false">MIN(F41:J41)</f>
        <v>1</v>
      </c>
      <c r="L41" s="24" t="n">
        <f aca="false">MAX(F41:J41)</f>
        <v>1</v>
      </c>
      <c r="M41" s="24" t="n">
        <f aca="false">L41-K41</f>
        <v>0</v>
      </c>
      <c r="O41" s="8" t="s">
        <v>177</v>
      </c>
      <c r="P41" s="12" t="n">
        <f aca="false">STDEV(P28:P37)</f>
        <v>0</v>
      </c>
      <c r="Q41" s="12" t="n">
        <f aca="false">STDEV(Q28:Q37)</f>
        <v>0</v>
      </c>
    </row>
    <row r="42" customFormat="false" ht="15" hidden="false" customHeight="false" outlineLevel="0" collapsed="false">
      <c r="A42" s="24" t="s">
        <v>210</v>
      </c>
      <c r="B42" s="25" t="s">
        <v>162</v>
      </c>
      <c r="C42" s="24" t="s">
        <v>101</v>
      </c>
      <c r="D42" s="25" t="s">
        <v>155</v>
      </c>
      <c r="E42" s="26" t="n">
        <v>0</v>
      </c>
      <c r="F42" s="26" t="n">
        <v>1</v>
      </c>
      <c r="G42" s="26" t="n">
        <v>1</v>
      </c>
      <c r="H42" s="26" t="n">
        <v>1</v>
      </c>
      <c r="I42" s="26" t="n">
        <v>1</v>
      </c>
      <c r="J42" s="26" t="n">
        <v>1</v>
      </c>
      <c r="K42" s="24" t="n">
        <f aca="false">MIN(F42:J42)</f>
        <v>1</v>
      </c>
      <c r="L42" s="24" t="n">
        <f aca="false">MAX(F42:J42)</f>
        <v>1</v>
      </c>
      <c r="M42" s="24" t="n">
        <f aca="false">L42-K42</f>
        <v>0</v>
      </c>
      <c r="O42" s="8" t="s">
        <v>179</v>
      </c>
      <c r="P42" s="12" t="n">
        <f aca="false">MIN(P28:P37)</f>
        <v>1</v>
      </c>
      <c r="Q42" s="12" t="n">
        <f aca="false">MIN(Q28:Q37)</f>
        <v>1</v>
      </c>
    </row>
    <row r="43" customFormat="false" ht="15" hidden="false" customHeight="false" outlineLevel="0" collapsed="false">
      <c r="A43" s="24" t="s">
        <v>211</v>
      </c>
      <c r="B43" s="25" t="s">
        <v>124</v>
      </c>
      <c r="C43" s="24" t="s">
        <v>164</v>
      </c>
      <c r="D43" s="25" t="s">
        <v>165</v>
      </c>
      <c r="E43" s="26" t="n">
        <v>0</v>
      </c>
      <c r="F43" s="26" t="n">
        <v>1</v>
      </c>
      <c r="G43" s="26" t="n">
        <v>1</v>
      </c>
      <c r="H43" s="26" t="n">
        <v>1</v>
      </c>
      <c r="I43" s="26" t="n">
        <v>1</v>
      </c>
      <c r="J43" s="26" t="n">
        <v>1</v>
      </c>
      <c r="K43" s="24" t="n">
        <f aca="false">MIN(F43:J43)</f>
        <v>1</v>
      </c>
      <c r="L43" s="24" t="n">
        <f aca="false">MAX(F43:J43)</f>
        <v>1</v>
      </c>
      <c r="M43" s="24" t="n">
        <f aca="false">L43-K43</f>
        <v>0</v>
      </c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A44" s="24" t="s">
        <v>212</v>
      </c>
      <c r="B44" s="25" t="s">
        <v>209</v>
      </c>
      <c r="C44" s="24" t="s">
        <v>164</v>
      </c>
      <c r="D44" s="25" t="s">
        <v>165</v>
      </c>
      <c r="E44" s="26" t="n">
        <v>0</v>
      </c>
      <c r="F44" s="26" t="n">
        <v>1</v>
      </c>
      <c r="G44" s="26" t="n">
        <v>1</v>
      </c>
      <c r="H44" s="26" t="n">
        <v>1</v>
      </c>
      <c r="I44" s="26" t="n">
        <v>1</v>
      </c>
      <c r="J44" s="26" t="n">
        <v>1</v>
      </c>
      <c r="K44" s="24" t="n">
        <f aca="false">MIN(F44:J44)</f>
        <v>1</v>
      </c>
      <c r="L44" s="24" t="n">
        <f aca="false">MAX(F44:J44)</f>
        <v>1</v>
      </c>
      <c r="M44" s="24" t="n">
        <f aca="false">L44-K44</f>
        <v>0</v>
      </c>
      <c r="O44" s="8" t="s">
        <v>183</v>
      </c>
      <c r="P44" s="12" t="n">
        <f aca="false">K51/L51</f>
        <v>1</v>
      </c>
      <c r="Q44" s="12" t="n">
        <f aca="false">K52/L52</f>
        <v>1</v>
      </c>
    </row>
    <row r="45" customFormat="false" ht="15" hidden="false" customHeight="false" outlineLevel="0" collapsed="false">
      <c r="A45" s="24" t="s">
        <v>213</v>
      </c>
      <c r="B45" s="25" t="s">
        <v>131</v>
      </c>
      <c r="C45" s="24" t="s">
        <v>164</v>
      </c>
      <c r="D45" s="25" t="s">
        <v>165</v>
      </c>
      <c r="E45" s="26" t="n">
        <v>0</v>
      </c>
      <c r="F45" s="26" t="n">
        <v>1</v>
      </c>
      <c r="G45" s="26" t="n">
        <v>1</v>
      </c>
      <c r="H45" s="26" t="n">
        <v>1</v>
      </c>
      <c r="I45" s="26" t="n">
        <v>1</v>
      </c>
      <c r="J45" s="26" t="n">
        <v>1</v>
      </c>
      <c r="K45" s="24" t="n">
        <f aca="false">MIN(F45:J45)</f>
        <v>1</v>
      </c>
      <c r="L45" s="24" t="n">
        <f aca="false">MAX(F45:J45)</f>
        <v>1</v>
      </c>
      <c r="M45" s="24" t="n">
        <f aca="false">L45-K45</f>
        <v>0</v>
      </c>
      <c r="O45" s="8" t="s">
        <v>185</v>
      </c>
      <c r="P45" s="30" t="n">
        <f aca="false">AVERAGE(F53:J53)</f>
        <v>46</v>
      </c>
      <c r="Q45" s="30" t="n">
        <f aca="false">AVERAGE(F54:J54)</f>
        <v>19</v>
      </c>
    </row>
    <row r="46" customFormat="false" ht="15" hidden="false" customHeight="false" outlineLevel="0" collapsed="false">
      <c r="A46" s="24" t="s">
        <v>214</v>
      </c>
      <c r="B46" s="25" t="s">
        <v>154</v>
      </c>
      <c r="C46" s="24" t="s">
        <v>164</v>
      </c>
      <c r="D46" s="25" t="s">
        <v>165</v>
      </c>
      <c r="E46" s="26" t="n">
        <v>0</v>
      </c>
      <c r="F46" s="26" t="n">
        <v>1</v>
      </c>
      <c r="G46" s="26" t="n">
        <v>1</v>
      </c>
      <c r="H46" s="26" t="n">
        <v>1</v>
      </c>
      <c r="I46" s="26" t="n">
        <v>1</v>
      </c>
      <c r="J46" s="26" t="n">
        <v>1</v>
      </c>
      <c r="K46" s="24" t="n">
        <f aca="false">MIN(F46:J46)</f>
        <v>1</v>
      </c>
      <c r="L46" s="24" t="n">
        <f aca="false">MAX(F46:J46)</f>
        <v>1</v>
      </c>
      <c r="M46" s="24" t="n">
        <f aca="false">L46-K46</f>
        <v>0</v>
      </c>
      <c r="O46" s="8" t="s">
        <v>186</v>
      </c>
      <c r="P46" s="30" t="n">
        <f aca="false">AVERAGE(F51:J51)</f>
        <v>50</v>
      </c>
      <c r="Q46" s="30" t="n">
        <f aca="false">AVERAGE(F52:J52)</f>
        <v>23</v>
      </c>
    </row>
    <row r="47" customFormat="false" ht="15" hidden="false" customHeight="false" outlineLevel="0" collapsed="false">
      <c r="A47" s="24" t="s">
        <v>215</v>
      </c>
      <c r="B47" s="25" t="s">
        <v>157</v>
      </c>
      <c r="C47" s="24" t="s">
        <v>164</v>
      </c>
      <c r="D47" s="25" t="s">
        <v>165</v>
      </c>
      <c r="E47" s="26" t="n">
        <v>0</v>
      </c>
      <c r="F47" s="26" t="n">
        <v>1</v>
      </c>
      <c r="G47" s="26" t="n">
        <v>1</v>
      </c>
      <c r="H47" s="26" t="n">
        <v>1</v>
      </c>
      <c r="I47" s="26" t="n">
        <v>1</v>
      </c>
      <c r="J47" s="26" t="n">
        <v>1</v>
      </c>
      <c r="K47" s="24" t="n">
        <f aca="false">MIN(F47:J47)</f>
        <v>1</v>
      </c>
      <c r="L47" s="24" t="n">
        <f aca="false">MAX(F47:J47)</f>
        <v>1</v>
      </c>
      <c r="M47" s="24" t="n">
        <f aca="false">L47-K47</f>
        <v>0</v>
      </c>
    </row>
    <row r="48" customFormat="false" ht="15" hidden="false" customHeight="false" outlineLevel="0" collapsed="false">
      <c r="A48" s="24" t="s">
        <v>216</v>
      </c>
      <c r="B48" s="25" t="s">
        <v>127</v>
      </c>
      <c r="C48" s="24" t="s">
        <v>164</v>
      </c>
      <c r="D48" s="25" t="s">
        <v>165</v>
      </c>
      <c r="E48" s="26" t="n">
        <v>0</v>
      </c>
      <c r="F48" s="26" t="n">
        <v>1</v>
      </c>
      <c r="G48" s="26" t="n">
        <v>1</v>
      </c>
      <c r="H48" s="26" t="n">
        <v>1</v>
      </c>
      <c r="I48" s="26" t="n">
        <v>1</v>
      </c>
      <c r="J48" s="26" t="n">
        <v>1</v>
      </c>
      <c r="K48" s="24" t="n">
        <f aca="false">MIN(F48:J48)</f>
        <v>1</v>
      </c>
      <c r="L48" s="24" t="n">
        <f aca="false">MAX(F48:J48)</f>
        <v>1</v>
      </c>
      <c r="M48" s="24" t="n">
        <f aca="false">L48-K48</f>
        <v>0</v>
      </c>
    </row>
    <row r="49" customFormat="false" ht="15" hidden="false" customHeight="false" outlineLevel="0" collapsed="false">
      <c r="A49" s="24" t="s">
        <v>217</v>
      </c>
      <c r="B49" s="25" t="s">
        <v>136</v>
      </c>
      <c r="C49" s="24" t="s">
        <v>164</v>
      </c>
      <c r="D49" s="25" t="s">
        <v>165</v>
      </c>
      <c r="E49" s="26" t="n">
        <v>0</v>
      </c>
      <c r="F49" s="26" t="n">
        <v>1</v>
      </c>
      <c r="G49" s="26" t="n">
        <v>1</v>
      </c>
      <c r="H49" s="26" t="n">
        <v>1</v>
      </c>
      <c r="I49" s="26" t="n">
        <v>1</v>
      </c>
      <c r="J49" s="26" t="n">
        <v>1</v>
      </c>
      <c r="K49" s="24" t="n">
        <f aca="false">MIN(F49:J49)</f>
        <v>1</v>
      </c>
      <c r="L49" s="24" t="n">
        <f aca="false">MAX(F49:J49)</f>
        <v>1</v>
      </c>
      <c r="M49" s="24" t="n">
        <f aca="false">L49-K49</f>
        <v>0</v>
      </c>
    </row>
    <row r="50" customFormat="false" ht="15" hidden="false" customHeight="false" outlineLevel="0" collapsed="false">
      <c r="A50" s="24" t="s">
        <v>218</v>
      </c>
      <c r="B50" s="25" t="s">
        <v>162</v>
      </c>
      <c r="C50" s="24" t="s">
        <v>164</v>
      </c>
      <c r="D50" s="25" t="s">
        <v>165</v>
      </c>
      <c r="E50" s="26" t="n">
        <v>0</v>
      </c>
      <c r="F50" s="26" t="n">
        <v>1</v>
      </c>
      <c r="G50" s="26" t="n">
        <v>1</v>
      </c>
      <c r="H50" s="26" t="n">
        <v>1</v>
      </c>
      <c r="I50" s="26" t="n">
        <v>1</v>
      </c>
      <c r="J50" s="26" t="n">
        <v>1</v>
      </c>
      <c r="K50" s="24" t="n">
        <f aca="false">MIN(F50:J50)</f>
        <v>1</v>
      </c>
      <c r="L50" s="24" t="n">
        <f aca="false">MAX(F50:J50)</f>
        <v>1</v>
      </c>
      <c r="M50" s="24" t="n">
        <f aca="false">L50-K50</f>
        <v>0</v>
      </c>
    </row>
    <row r="51" customFormat="false" ht="15" hidden="false" customHeight="false" outlineLevel="0" collapsed="false">
      <c r="D51" s="29" t="s">
        <v>178</v>
      </c>
      <c r="F51" s="13" t="n">
        <f aca="false">SUM(F5:F50)</f>
        <v>50</v>
      </c>
      <c r="G51" s="13" t="n">
        <f aca="false">SUM(G5:G50)</f>
        <v>50</v>
      </c>
      <c r="H51" s="13" t="n">
        <f aca="false">SUM(H5:H50)</f>
        <v>50</v>
      </c>
      <c r="I51" s="13" t="n">
        <f aca="false">SUM(I5:I50)</f>
        <v>50</v>
      </c>
      <c r="J51" s="13" t="n">
        <f aca="false">SUM(J5:J50)</f>
        <v>50</v>
      </c>
      <c r="K51" s="13" t="n">
        <f aca="false">SUM(K5:K50)</f>
        <v>50</v>
      </c>
      <c r="L51" s="13" t="n">
        <f aca="false">SUM(L5:L50)</f>
        <v>50</v>
      </c>
    </row>
    <row r="52" customFormat="false" ht="15" hidden="false" customHeight="false" outlineLevel="0" collapsed="false">
      <c r="D52" s="29" t="s">
        <v>180</v>
      </c>
      <c r="F52" s="13" t="n">
        <f aca="false">SUMPRODUCT($E$5:$E$50,F5:F50)</f>
        <v>23</v>
      </c>
      <c r="G52" s="13" t="n">
        <f aca="false">SUMPRODUCT($E$5:$E$50,G5:G50)</f>
        <v>23</v>
      </c>
      <c r="H52" s="13" t="n">
        <f aca="false">SUMPRODUCT($E$5:$E$50,H5:H50)</f>
        <v>23</v>
      </c>
      <c r="I52" s="13" t="n">
        <f aca="false">SUMPRODUCT($E$5:$E$50,I5:I50)</f>
        <v>23</v>
      </c>
      <c r="J52" s="13" t="n">
        <f aca="false">SUMPRODUCT($E$5:$E$50,J5:J50)</f>
        <v>23</v>
      </c>
      <c r="K52" s="13" t="n">
        <f aca="false">SUMPRODUCT($E$5:$E$50,K5:K50)</f>
        <v>23</v>
      </c>
      <c r="L52" s="13" t="n">
        <f aca="false">SUMPRODUCT($E$5:$E$50,L5:L50)</f>
        <v>23</v>
      </c>
    </row>
    <row r="53" customFormat="false" ht="15" hidden="false" customHeight="false" outlineLevel="0" collapsed="false">
      <c r="D53" s="29" t="s">
        <v>182</v>
      </c>
      <c r="F53" s="13" t="n">
        <f aca="false">COUNTIF(F5:F50,"&gt;0")</f>
        <v>46</v>
      </c>
      <c r="G53" s="13" t="n">
        <f aca="false">COUNTIF(G5:G50,"&gt;0")</f>
        <v>46</v>
      </c>
      <c r="H53" s="13" t="n">
        <f aca="false">COUNTIF(H5:H50,"&gt;0")</f>
        <v>46</v>
      </c>
      <c r="I53" s="13" t="n">
        <f aca="false">COUNTIF(I5:I50,"&gt;0")</f>
        <v>46</v>
      </c>
      <c r="J53" s="13" t="n">
        <f aca="false">COUNTIF(J5:J50,"&gt;0")</f>
        <v>46</v>
      </c>
    </row>
    <row r="54" customFormat="false" ht="15" hidden="false" customHeight="false" outlineLevel="0" collapsed="false">
      <c r="D54" s="29" t="s">
        <v>184</v>
      </c>
      <c r="F54" s="13" t="n">
        <f aca="false">COUNTIFS(F5:F50,"&gt;0",$E$5:$E$50,1)</f>
        <v>19</v>
      </c>
      <c r="G54" s="13" t="n">
        <f aca="false">COUNTIFS(G5:G50,"&gt;0",$E$5:$E$50,1)</f>
        <v>19</v>
      </c>
      <c r="H54" s="13" t="n">
        <f aca="false">COUNTIFS(H5:H50,"&gt;0",$E$5:$E$50,1)</f>
        <v>19</v>
      </c>
      <c r="I54" s="13" t="n">
        <f aca="false">COUNTIFS(I5:I50,"&gt;0",$E$5:$E$50,1)</f>
        <v>19</v>
      </c>
      <c r="J54" s="13" t="n">
        <f aca="false">COUNTIFS(J5:J50,"&gt;0",$E$5:$E$50,1)</f>
        <v>19</v>
      </c>
    </row>
  </sheetData>
  <conditionalFormatting sqref="A5:M50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219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35.05" hidden="false" customHeight="false" outlineLevel="0" collapsed="false">
      <c r="A5" s="24" t="s">
        <v>99</v>
      </c>
      <c r="B5" s="25" t="s">
        <v>194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220</v>
      </c>
    </row>
    <row r="6" customFormat="false" ht="35.05" hidden="false" customHeight="false" outlineLevel="0" collapsed="false">
      <c r="A6" s="24" t="s">
        <v>104</v>
      </c>
      <c r="B6" s="25" t="s">
        <v>194</v>
      </c>
      <c r="C6" s="24" t="s">
        <v>101</v>
      </c>
      <c r="D6" s="25" t="s">
        <v>196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221</v>
      </c>
    </row>
    <row r="7" customFormat="false" ht="35.05" hidden="false" customHeight="false" outlineLevel="0" collapsed="false">
      <c r="A7" s="24" t="s">
        <v>108</v>
      </c>
      <c r="B7" s="25" t="s">
        <v>194</v>
      </c>
      <c r="C7" s="24" t="s">
        <v>101</v>
      </c>
      <c r="D7" s="25" t="s">
        <v>198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222</v>
      </c>
    </row>
    <row r="8" customFormat="false" ht="35.05" hidden="false" customHeight="false" outlineLevel="0" collapsed="false">
      <c r="A8" s="24" t="s">
        <v>112</v>
      </c>
      <c r="B8" s="25" t="s">
        <v>194</v>
      </c>
      <c r="C8" s="24" t="s">
        <v>101</v>
      </c>
      <c r="D8" s="25" t="s">
        <v>200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4" t="n">
        <f aca="false">MIN(F8:J8)</f>
        <v>1</v>
      </c>
      <c r="L8" s="24" t="n">
        <f aca="false">MAX(F8:J8)</f>
        <v>1</v>
      </c>
      <c r="M8" s="24" t="n">
        <f aca="false">L8-K8</f>
        <v>0</v>
      </c>
      <c r="O8" s="8" t="s">
        <v>92</v>
      </c>
      <c r="P8" s="22" t="s">
        <v>223</v>
      </c>
    </row>
    <row r="9" customFormat="false" ht="15" hidden="false" customHeight="false" outlineLevel="0" collapsed="false">
      <c r="A9" s="24" t="s">
        <v>115</v>
      </c>
      <c r="B9" s="25" t="s">
        <v>109</v>
      </c>
      <c r="C9" s="24" t="s">
        <v>101</v>
      </c>
      <c r="D9" s="25" t="s">
        <v>113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4" t="n">
        <f aca="false">MIN(F9:J9)</f>
        <v>1</v>
      </c>
      <c r="L9" s="24" t="n">
        <f aca="false">MAX(F9:J9)</f>
        <v>1</v>
      </c>
      <c r="M9" s="24" t="n">
        <f aca="false">L9-K9</f>
        <v>0</v>
      </c>
      <c r="O9" s="8" t="s">
        <v>93</v>
      </c>
      <c r="P9" s="22" t="s">
        <v>224</v>
      </c>
    </row>
    <row r="10" customFormat="false" ht="15" hidden="false" customHeight="false" outlineLevel="0" collapsed="false">
      <c r="A10" s="24" t="s">
        <v>119</v>
      </c>
      <c r="B10" s="25" t="s">
        <v>207</v>
      </c>
      <c r="C10" s="24" t="s">
        <v>101</v>
      </c>
      <c r="D10" s="25" t="s">
        <v>208</v>
      </c>
      <c r="E10" s="26" t="n">
        <v>1</v>
      </c>
      <c r="F10" s="26" t="n">
        <v>2</v>
      </c>
      <c r="G10" s="26" t="n">
        <v>2</v>
      </c>
      <c r="H10" s="26" t="n">
        <v>2</v>
      </c>
      <c r="I10" s="26" t="n">
        <v>2</v>
      </c>
      <c r="J10" s="26" t="n">
        <v>2</v>
      </c>
      <c r="K10" s="24" t="n">
        <f aca="false">MIN(F10:J10)</f>
        <v>2</v>
      </c>
      <c r="L10" s="24" t="n">
        <f aca="false">MAX(F10:J10)</f>
        <v>2</v>
      </c>
      <c r="M10" s="24" t="n">
        <f aca="false">L10-K10</f>
        <v>0</v>
      </c>
    </row>
    <row r="11" customFormat="false" ht="15" hidden="false" customHeight="false" outlineLevel="0" collapsed="false">
      <c r="A11" s="24" t="s">
        <v>122</v>
      </c>
      <c r="B11" s="25" t="s">
        <v>225</v>
      </c>
      <c r="C11" s="24" t="s">
        <v>101</v>
      </c>
      <c r="D11" s="25" t="s">
        <v>226</v>
      </c>
      <c r="E11" s="26" t="n">
        <v>1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3</v>
      </c>
      <c r="K11" s="24" t="n">
        <f aca="false">MIN(F11:J11)</f>
        <v>3</v>
      </c>
      <c r="L11" s="24" t="n">
        <f aca="false">MAX(F11:J11)</f>
        <v>3</v>
      </c>
      <c r="M11" s="24" t="n">
        <f aca="false">L11-K11</f>
        <v>0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116</v>
      </c>
      <c r="C12" s="24" t="s">
        <v>101</v>
      </c>
      <c r="D12" s="25" t="s">
        <v>117</v>
      </c>
      <c r="E12" s="26" t="n">
        <v>1</v>
      </c>
      <c r="F12" s="26" t="n">
        <v>4</v>
      </c>
      <c r="G12" s="26" t="n">
        <v>4</v>
      </c>
      <c r="H12" s="26" t="n">
        <v>4</v>
      </c>
      <c r="I12" s="26" t="n">
        <v>4</v>
      </c>
      <c r="J12" s="26" t="n">
        <v>4</v>
      </c>
      <c r="K12" s="24" t="n">
        <f aca="false">MIN(F12:J12)</f>
        <v>4</v>
      </c>
      <c r="L12" s="24" t="n">
        <f aca="false">MAX(F12:J12)</f>
        <v>4</v>
      </c>
      <c r="M12" s="24" t="n">
        <f aca="false">L12-K12</f>
        <v>0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120</v>
      </c>
      <c r="C13" s="24" t="s">
        <v>101</v>
      </c>
      <c r="D13" s="25" t="s">
        <v>121</v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4" t="n">
        <f aca="false">MIN(F13:J13)</f>
        <v>1</v>
      </c>
      <c r="L13" s="24" t="n">
        <f aca="false">MAX(F13:J13)</f>
        <v>1</v>
      </c>
      <c r="M13" s="24" t="n">
        <f aca="false">L13-K13</f>
        <v>0</v>
      </c>
      <c r="O13" s="27" t="s">
        <v>89</v>
      </c>
      <c r="P13" s="28" t="n">
        <f aca="false">SUMPRODUCT((($F$5:$F$35&lt;$F$5:$F$35)*$F$5:$F$35+($F$5:$F$35&gt;=$F$5:$F$35)*$F$5:$F$35))/SUMPRODUCT((($F$5:$F$35&gt;$F$5:$F$35)*$F$5:$F$35+($F$5:$F$35&lt;=$F$5:$F$35)*$F$5:$F$35))</f>
        <v>1</v>
      </c>
      <c r="Q13" s="28" t="n">
        <f aca="false">SUMPRODUCT((($F$5:$F$35&lt;$G$5:$G$35)*$F$5:$F$35+($F$5:$F$35&gt;=$G$5:$G$35)*$G$5:$G$35))/SUMPRODUCT((($F$5:$F$35&gt;$G$5:$G$35)*$F$5:$F$35+($F$5:$F$35&lt;=$G$5:$G$35)*$G$5:$G$35))</f>
        <v>1</v>
      </c>
      <c r="R13" s="28" t="n">
        <f aca="false">SUMPRODUCT((($F$5:$F$35&lt;$H$5:$H$35)*$F$5:$F$35+($F$5:$F$35&gt;=$H$5:$H$35)*$H$5:$H$35))/SUMPRODUCT((($F$5:$F$35&gt;$H$5:$H$35)*$F$5:$F$35+($F$5:$F$35&lt;=$H$5:$H$35)*$H$5:$H$35))</f>
        <v>1</v>
      </c>
      <c r="S13" s="28" t="n">
        <f aca="false">SUMPRODUCT((($F$5:$F$35&lt;$I$5:$I$35)*$F$5:$F$35+($F$5:$F$35&gt;=$I$5:$I$35)*$I$5:$I$35))/SUMPRODUCT((($F$5:$F$35&gt;$I$5:$I$35)*$F$5:$F$35+($F$5:$F$35&lt;=$I$5:$I$35)*$I$5:$I$35))</f>
        <v>1</v>
      </c>
      <c r="T13" s="28" t="n">
        <f aca="false">SUMPRODUCT((($F$5:$F$35&lt;$J$5:$J$35)*$F$5:$F$35+($F$5:$F$35&gt;=$J$5:$J$35)*$J$5:$J$35))/SUMPRODUCT((($F$5:$F$35&gt;$J$5:$J$35)*$F$5:$F$35+($F$5:$F$35&lt;=$J$5:$J$35)*$J$5:$J$35))</f>
        <v>1</v>
      </c>
    </row>
    <row r="14" customFormat="false" ht="15" hidden="false" customHeight="false" outlineLevel="0" collapsed="false">
      <c r="A14" s="24" t="s">
        <v>130</v>
      </c>
      <c r="B14" s="25" t="s">
        <v>109</v>
      </c>
      <c r="C14" s="24" t="s">
        <v>209</v>
      </c>
      <c r="D14" s="25" t="s">
        <v>207</v>
      </c>
      <c r="E14" s="26" t="n">
        <v>1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4" t="n">
        <f aca="false">MIN(F14:J14)</f>
        <v>2</v>
      </c>
      <c r="L14" s="24" t="n">
        <f aca="false">MAX(F14:J14)</f>
        <v>2</v>
      </c>
      <c r="M14" s="24" t="n">
        <f aca="false">L14-K14</f>
        <v>0</v>
      </c>
      <c r="O14" s="27" t="s">
        <v>90</v>
      </c>
      <c r="P14" s="28" t="n">
        <f aca="false">SUMPRODUCT((($G$5:$G$35&lt;$F$5:$F$35)*$G$5:$G$35+($G$5:$G$35&gt;=$F$5:$F$35)*$F$5:$F$35))/SUMPRODUCT((($G$5:$G$35&gt;$F$5:$F$35)*$G$5:$G$35+($G$5:$G$35&lt;=$F$5:$F$35)*$F$5:$F$35))</f>
        <v>1</v>
      </c>
      <c r="Q14" s="28" t="n">
        <f aca="false">SUMPRODUCT((($G$5:$G$35&lt;$G$5:$G$35)*$G$5:$G$35+($G$5:$G$35&gt;=$G$5:$G$35)*$G$5:$G$35))/SUMPRODUCT((($G$5:$G$35&gt;$G$5:$G$35)*$G$5:$G$35+($G$5:$G$35&lt;=$G$5:$G$35)*$G$5:$G$35))</f>
        <v>1</v>
      </c>
      <c r="R14" s="28" t="n">
        <f aca="false">SUMPRODUCT((($G$5:$G$35&lt;$H$5:$H$35)*$G$5:$G$35+($G$5:$G$35&gt;=$H$5:$H$35)*$H$5:$H$35))/SUMPRODUCT((($G$5:$G$35&gt;$H$5:$H$35)*$G$5:$G$35+($G$5:$G$35&lt;=$H$5:$H$35)*$H$5:$H$35))</f>
        <v>1</v>
      </c>
      <c r="S14" s="28" t="n">
        <f aca="false">SUMPRODUCT((($G$5:$G$35&lt;$I$5:$I$35)*$G$5:$G$35+($G$5:$G$35&gt;=$I$5:$I$35)*$I$5:$I$35))/SUMPRODUCT((($G$5:$G$35&gt;$I$5:$I$35)*$G$5:$G$35+($G$5:$G$35&lt;=$I$5:$I$35)*$I$5:$I$35))</f>
        <v>1</v>
      </c>
      <c r="T14" s="28" t="n">
        <f aca="false">SUMPRODUCT((($G$5:$G$35&lt;$J$5:$J$35)*$G$5:$G$35+($G$5:$G$35&gt;=$J$5:$J$35)*$J$5:$J$35))/SUMPRODUCT((($G$5:$G$35&gt;$J$5:$J$35)*$G$5:$G$35+($G$5:$G$35&lt;=$J$5:$J$35)*$J$5:$J$35))</f>
        <v>1</v>
      </c>
    </row>
    <row r="15" customFormat="false" ht="15" hidden="false" customHeight="false" outlineLevel="0" collapsed="false">
      <c r="A15" s="24" t="s">
        <v>132</v>
      </c>
      <c r="B15" s="25" t="s">
        <v>109</v>
      </c>
      <c r="C15" s="24" t="s">
        <v>209</v>
      </c>
      <c r="D15" s="25" t="s">
        <v>225</v>
      </c>
      <c r="E15" s="26" t="n">
        <v>1</v>
      </c>
      <c r="F15" s="26" t="n">
        <v>3</v>
      </c>
      <c r="G15" s="26" t="n">
        <v>3</v>
      </c>
      <c r="H15" s="26" t="n">
        <v>3</v>
      </c>
      <c r="I15" s="26" t="n">
        <v>3</v>
      </c>
      <c r="J15" s="26" t="n">
        <v>3</v>
      </c>
      <c r="K15" s="24" t="n">
        <f aca="false">MIN(F15:J15)</f>
        <v>3</v>
      </c>
      <c r="L15" s="24" t="n">
        <f aca="false">MAX(F15:J15)</f>
        <v>3</v>
      </c>
      <c r="M15" s="24" t="n">
        <f aca="false">L15-K15</f>
        <v>0</v>
      </c>
      <c r="O15" s="27" t="s">
        <v>91</v>
      </c>
      <c r="P15" s="28" t="n">
        <f aca="false">SUMPRODUCT((($H$5:$H$35&lt;$F$5:$F$35)*$H$5:$H$35+($H$5:$H$35&gt;=$F$5:$F$35)*$F$5:$F$35))/SUMPRODUCT((($H$5:$H$35&gt;$F$5:$F$35)*$H$5:$H$35+($H$5:$H$35&lt;=$F$5:$F$35)*$F$5:$F$35))</f>
        <v>1</v>
      </c>
      <c r="Q15" s="28" t="n">
        <f aca="false">SUMPRODUCT((($H$5:$H$35&lt;$G$5:$G$35)*$H$5:$H$35+($H$5:$H$35&gt;=$G$5:$G$35)*$G$5:$G$35))/SUMPRODUCT((($H$5:$H$35&gt;$G$5:$G$35)*$H$5:$H$35+($H$5:$H$35&lt;=$G$5:$G$35)*$G$5:$G$35))</f>
        <v>1</v>
      </c>
      <c r="R15" s="28" t="n">
        <f aca="false">SUMPRODUCT((($H$5:$H$35&lt;$H$5:$H$35)*$H$5:$H$35+($H$5:$H$35&gt;=$H$5:$H$35)*$H$5:$H$35))/SUMPRODUCT((($H$5:$H$35&gt;$H$5:$H$35)*$H$5:$H$35+($H$5:$H$35&lt;=$H$5:$H$35)*$H$5:$H$35))</f>
        <v>1</v>
      </c>
      <c r="S15" s="28" t="n">
        <f aca="false">SUMPRODUCT((($H$5:$H$35&lt;$I$5:$I$35)*$H$5:$H$35+($H$5:$H$35&gt;=$I$5:$I$35)*$I$5:$I$35))/SUMPRODUCT((($H$5:$H$35&gt;$I$5:$I$35)*$H$5:$H$35+($H$5:$H$35&lt;=$I$5:$I$35)*$I$5:$I$35))</f>
        <v>1</v>
      </c>
      <c r="T15" s="28" t="n">
        <f aca="false">SUMPRODUCT((($H$5:$H$35&lt;$J$5:$J$35)*$H$5:$H$35+($H$5:$H$35&gt;=$J$5:$J$35)*$J$5:$J$35))/SUMPRODUCT((($H$5:$H$35&gt;$J$5:$J$35)*$H$5:$H$35+($H$5:$H$35&lt;=$J$5:$J$35)*$J$5:$J$35))</f>
        <v>1</v>
      </c>
    </row>
    <row r="16" customFormat="false" ht="15" hidden="false" customHeight="false" outlineLevel="0" collapsed="false">
      <c r="A16" s="24" t="s">
        <v>135</v>
      </c>
      <c r="B16" s="25" t="s">
        <v>109</v>
      </c>
      <c r="C16" s="24" t="s">
        <v>136</v>
      </c>
      <c r="D16" s="25" t="s">
        <v>116</v>
      </c>
      <c r="E16" s="26" t="n">
        <v>1</v>
      </c>
      <c r="F16" s="26" t="n">
        <v>4</v>
      </c>
      <c r="G16" s="26" t="n">
        <v>4</v>
      </c>
      <c r="H16" s="26" t="n">
        <v>4</v>
      </c>
      <c r="I16" s="26" t="n">
        <v>4</v>
      </c>
      <c r="J16" s="26" t="n">
        <v>4</v>
      </c>
      <c r="K16" s="24" t="n">
        <f aca="false">MIN(F16:J16)</f>
        <v>4</v>
      </c>
      <c r="L16" s="24" t="n">
        <f aca="false">MAX(F16:J16)</f>
        <v>4</v>
      </c>
      <c r="M16" s="24" t="n">
        <f aca="false">L16-K16</f>
        <v>0</v>
      </c>
      <c r="O16" s="27" t="s">
        <v>92</v>
      </c>
      <c r="P16" s="28" t="n">
        <f aca="false">SUMPRODUCT((($I$5:$I$35&lt;$F$5:$F$35)*$I$5:$I$35+($I$5:$I$35&gt;=$F$5:$F$35)*$F$5:$F$35))/SUMPRODUCT((($I$5:$I$35&gt;$F$5:$F$35)*$I$5:$I$35+($I$5:$I$35&lt;=$F$5:$F$35)*$F$5:$F$35))</f>
        <v>1</v>
      </c>
      <c r="Q16" s="28" t="n">
        <f aca="false">SUMPRODUCT((($I$5:$I$35&lt;$G$5:$G$35)*$I$5:$I$35+($I$5:$I$35&gt;=$G$5:$G$35)*$G$5:$G$35))/SUMPRODUCT((($I$5:$I$35&gt;$G$5:$G$35)*$I$5:$I$35+($I$5:$I$35&lt;=$G$5:$G$35)*$G$5:$G$35))</f>
        <v>1</v>
      </c>
      <c r="R16" s="28" t="n">
        <f aca="false">SUMPRODUCT((($I$5:$I$35&lt;$H$5:$H$35)*$I$5:$I$35+($I$5:$I$35&gt;=$H$5:$H$35)*$H$5:$H$35))/SUMPRODUCT((($I$5:$I$35&gt;$H$5:$H$35)*$I$5:$I$35+($I$5:$I$35&lt;=$H$5:$H$35)*$H$5:$H$35))</f>
        <v>1</v>
      </c>
      <c r="S16" s="28" t="n">
        <f aca="false">SUMPRODUCT((($I$5:$I$35&lt;$I$5:$I$35)*$I$5:$I$35+($I$5:$I$35&gt;=$I$5:$I$35)*$I$5:$I$35))/SUMPRODUCT((($I$5:$I$35&gt;$I$5:$I$35)*$I$5:$I$35+($I$5:$I$35&lt;=$I$5:$I$35)*$I$5:$I$35))</f>
        <v>1</v>
      </c>
      <c r="T16" s="28" t="n">
        <f aca="false">SUMPRODUCT((($I$5:$I$35&lt;$J$5:$J$35)*$I$5:$I$35+($I$5:$I$35&gt;=$J$5:$J$35)*$J$5:$J$35))/SUMPRODUCT((($I$5:$I$35&gt;$J$5:$J$35)*$I$5:$I$35+($I$5:$I$35&lt;=$J$5:$J$35)*$J$5:$J$35))</f>
        <v>1</v>
      </c>
    </row>
    <row r="17" customFormat="false" ht="15" hidden="false" customHeight="false" outlineLevel="0" collapsed="false">
      <c r="A17" s="24" t="s">
        <v>137</v>
      </c>
      <c r="B17" s="25" t="s">
        <v>116</v>
      </c>
      <c r="C17" s="24" t="s">
        <v>124</v>
      </c>
      <c r="D17" s="25" t="s">
        <v>120</v>
      </c>
      <c r="E17" s="26" t="n">
        <v>1</v>
      </c>
      <c r="F17" s="26" t="n">
        <v>4</v>
      </c>
      <c r="G17" s="26" t="n">
        <v>4</v>
      </c>
      <c r="H17" s="26" t="n">
        <v>4</v>
      </c>
      <c r="I17" s="26" t="n">
        <v>4</v>
      </c>
      <c r="J17" s="26" t="n">
        <v>4</v>
      </c>
      <c r="K17" s="24" t="n">
        <f aca="false">MIN(F17:J17)</f>
        <v>4</v>
      </c>
      <c r="L17" s="24" t="n">
        <f aca="false">MAX(F17:J17)</f>
        <v>4</v>
      </c>
      <c r="M17" s="24" t="n">
        <f aca="false">L17-K17</f>
        <v>0</v>
      </c>
      <c r="O17" s="27" t="s">
        <v>93</v>
      </c>
      <c r="P17" s="28" t="n">
        <f aca="false">SUMPRODUCT((($J$5:$J$35&lt;$F$5:$F$35)*$J$5:$J$35+($J$5:$J$35&gt;=$F$5:$F$35)*$F$5:$F$35))/SUMPRODUCT((($J$5:$J$35&gt;$F$5:$F$35)*$J$5:$J$35+($J$5:$J$35&lt;=$F$5:$F$35)*$F$5:$F$35))</f>
        <v>1</v>
      </c>
      <c r="Q17" s="28" t="n">
        <f aca="false">SUMPRODUCT((($J$5:$J$35&lt;$G$5:$G$35)*$J$5:$J$35+($J$5:$J$35&gt;=$G$5:$G$35)*$G$5:$G$35))/SUMPRODUCT((($J$5:$J$35&gt;$G$5:$G$35)*$J$5:$J$35+($J$5:$J$35&lt;=$G$5:$G$35)*$G$5:$G$35))</f>
        <v>1</v>
      </c>
      <c r="R17" s="28" t="n">
        <f aca="false">SUMPRODUCT((($J$5:$J$35&lt;$H$5:$H$35)*$J$5:$J$35+($J$5:$J$35&gt;=$H$5:$H$35)*$H$5:$H$35))/SUMPRODUCT((($J$5:$J$35&gt;$H$5:$H$35)*$J$5:$J$35+($J$5:$J$35&lt;=$H$5:$H$35)*$H$5:$H$35))</f>
        <v>1</v>
      </c>
      <c r="S17" s="28" t="n">
        <f aca="false">SUMPRODUCT((($J$5:$J$35&lt;$I$5:$I$35)*$J$5:$J$35+($J$5:$J$35&gt;=$I$5:$I$35)*$I$5:$I$35))/SUMPRODUCT((($J$5:$J$35&gt;$I$5:$I$35)*$J$5:$J$35+($J$5:$J$35&lt;=$I$5:$I$35)*$I$5:$I$35))</f>
        <v>1</v>
      </c>
      <c r="T17" s="28" t="n">
        <f aca="false">SUMPRODUCT((($J$5:$J$35&lt;$J$5:$J$35)*$J$5:$J$35+($J$5:$J$35&gt;=$J$5:$J$35)*$J$5:$J$35))/SUMPRODUCT((($J$5:$J$35&gt;$J$5:$J$35)*$J$5:$J$35+($J$5:$J$35&lt;=$J$5:$J$35)*$J$5:$J$35))</f>
        <v>1</v>
      </c>
    </row>
    <row r="18" customFormat="false" ht="23.85" hidden="false" customHeight="false" outlineLevel="0" collapsed="false">
      <c r="A18" s="24" t="s">
        <v>140</v>
      </c>
      <c r="B18" s="25" t="s">
        <v>116</v>
      </c>
      <c r="C18" s="24" t="s">
        <v>127</v>
      </c>
      <c r="D18" s="25" t="s">
        <v>194</v>
      </c>
      <c r="E18" s="26" t="n">
        <v>1</v>
      </c>
      <c r="F18" s="26" t="n">
        <v>4</v>
      </c>
      <c r="G18" s="26" t="n">
        <v>4</v>
      </c>
      <c r="H18" s="26" t="n">
        <v>4</v>
      </c>
      <c r="I18" s="26" t="n">
        <v>4</v>
      </c>
      <c r="J18" s="26" t="n">
        <v>4</v>
      </c>
      <c r="K18" s="24" t="n">
        <f aca="false">MIN(F18:J18)</f>
        <v>4</v>
      </c>
      <c r="L18" s="24" t="n">
        <f aca="false">MAX(F18:J18)</f>
        <v>4</v>
      </c>
      <c r="M18" s="24" t="n">
        <f aca="false">L18-K18</f>
        <v>0</v>
      </c>
    </row>
    <row r="19" customFormat="false" ht="15" hidden="false" customHeight="false" outlineLevel="0" collapsed="false">
      <c r="A19" s="24" t="s">
        <v>141</v>
      </c>
      <c r="B19" s="25" t="s">
        <v>102</v>
      </c>
      <c r="C19" s="24" t="s">
        <v>101</v>
      </c>
      <c r="D19" s="25" t="s">
        <v>145</v>
      </c>
      <c r="E19" s="26" t="n">
        <v>0</v>
      </c>
      <c r="F19" s="26" t="n">
        <v>1</v>
      </c>
      <c r="G19" s="26" t="n">
        <v>1</v>
      </c>
      <c r="H19" s="26" t="n">
        <v>1</v>
      </c>
      <c r="I19" s="26" t="n">
        <v>1</v>
      </c>
      <c r="J19" s="26" t="n">
        <v>1</v>
      </c>
      <c r="K19" s="24" t="n">
        <f aca="false">MIN(F19:J19)</f>
        <v>1</v>
      </c>
      <c r="L19" s="24" t="n">
        <f aca="false">MAX(F19:J19)</f>
        <v>1</v>
      </c>
      <c r="M19" s="24" t="n">
        <f aca="false">L19-K19</f>
        <v>0</v>
      </c>
      <c r="O19" s="17" t="s">
        <v>142</v>
      </c>
    </row>
    <row r="20" customFormat="false" ht="15" hidden="false" customHeight="false" outlineLevel="0" collapsed="false">
      <c r="A20" s="24" t="s">
        <v>143</v>
      </c>
      <c r="B20" s="25" t="s">
        <v>196</v>
      </c>
      <c r="C20" s="24" t="s">
        <v>101</v>
      </c>
      <c r="D20" s="25" t="s">
        <v>145</v>
      </c>
      <c r="E20" s="26" t="n">
        <v>0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4" t="n">
        <f aca="false">MIN(F20:J20)</f>
        <v>1</v>
      </c>
      <c r="L20" s="24" t="n">
        <f aca="false">MAX(F20:J20)</f>
        <v>1</v>
      </c>
      <c r="M20" s="24" t="n">
        <f aca="false">L20-K20</f>
        <v>0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198</v>
      </c>
      <c r="C21" s="24" t="s">
        <v>101</v>
      </c>
      <c r="D21" s="25" t="s">
        <v>145</v>
      </c>
      <c r="E21" s="26" t="n">
        <v>0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4" t="n">
        <f aca="false">MIN(F21:J21)</f>
        <v>1</v>
      </c>
      <c r="L21" s="24" t="n">
        <f aca="false">MAX(F21:J21)</f>
        <v>1</v>
      </c>
      <c r="M21" s="24" t="n">
        <f aca="false">L21-K21</f>
        <v>0</v>
      </c>
      <c r="O21" s="27" t="s">
        <v>89</v>
      </c>
      <c r="P21" s="28" t="n">
        <f aca="false">SUMPRODUCT($E$5:$E$35*(($F$5:$F$35&lt;$F$5:$F$35)*$F$5:$F$35+($F$5:$F$35&gt;=$F$5:$F$35)*$F$5:$F$35))/SUMPRODUCT($E$5:$E$35*(($F$5:$F$35&gt;$F$5:$F$35)*$F$5:$F$35+($F$5:$F$35&lt;=$F$5:$F$35)*$F$5:$F$35))</f>
        <v>1</v>
      </c>
      <c r="Q21" s="28" t="n">
        <f aca="false">SUMPRODUCT($E$5:$E$35*(($F$5:$F$35&lt;$G$5:$G$35)*$F$5:$F$35+($F$5:$F$35&gt;=$G$5:$G$35)*$G$5:$G$35))/SUMPRODUCT($E$5:$E$35*(($F$5:$F$35&gt;$G$5:$G$35)*$F$5:$F$35+($F$5:$F$35&lt;=$G$5:$G$35)*$G$5:$G$35))</f>
        <v>1</v>
      </c>
      <c r="R21" s="28" t="n">
        <f aca="false">SUMPRODUCT($E$5:$E$35*(($F$5:$F$35&lt;$H$5:$H$35)*$F$5:$F$35+($F$5:$F$35&gt;=$H$5:$H$35)*$H$5:$H$35))/SUMPRODUCT($E$5:$E$35*(($F$5:$F$35&gt;$H$5:$H$35)*$F$5:$F$35+($F$5:$F$35&lt;=$H$5:$H$35)*$H$5:$H$35))</f>
        <v>1</v>
      </c>
      <c r="S21" s="28" t="n">
        <f aca="false">SUMPRODUCT($E$5:$E$35*(($F$5:$F$35&lt;$I$5:$I$35)*$F$5:$F$35+($F$5:$F$35&gt;=$I$5:$I$35)*$I$5:$I$35))/SUMPRODUCT($E$5:$E$35*(($F$5:$F$35&gt;$I$5:$I$35)*$F$5:$F$35+($F$5:$F$35&lt;=$I$5:$I$35)*$I$5:$I$35))</f>
        <v>1</v>
      </c>
      <c r="T21" s="28" t="n">
        <f aca="false">SUMPRODUCT($E$5:$E$35*(($F$5:$F$35&lt;$J$5:$J$35)*$F$5:$F$35+($F$5:$F$35&gt;=$J$5:$J$35)*$J$5:$J$35))/SUMPRODUCT($E$5:$E$35*(($F$5:$F$35&gt;$J$5:$J$35)*$F$5:$F$35+($F$5:$F$35&lt;=$J$5:$J$35)*$J$5:$J$35))</f>
        <v>1</v>
      </c>
    </row>
    <row r="22" customFormat="false" ht="15" hidden="false" customHeight="false" outlineLevel="0" collapsed="false">
      <c r="A22" s="24" t="s">
        <v>146</v>
      </c>
      <c r="B22" s="25" t="s">
        <v>200</v>
      </c>
      <c r="C22" s="24" t="s">
        <v>101</v>
      </c>
      <c r="D22" s="25" t="s">
        <v>145</v>
      </c>
      <c r="E22" s="26" t="n">
        <v>0</v>
      </c>
      <c r="F22" s="26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4" t="n">
        <f aca="false">MIN(F22:J22)</f>
        <v>1</v>
      </c>
      <c r="L22" s="24" t="n">
        <f aca="false">MAX(F22:J22)</f>
        <v>1</v>
      </c>
      <c r="M22" s="24" t="n">
        <f aca="false">L22-K22</f>
        <v>0</v>
      </c>
      <c r="O22" s="27" t="s">
        <v>90</v>
      </c>
      <c r="P22" s="28" t="n">
        <f aca="false">SUMPRODUCT($E$5:$E$35*(($G$5:$G$35&lt;$F$5:$F$35)*$G$5:$G$35+($G$5:$G$35&gt;=$F$5:$F$35)*$F$5:$F$35))/SUMPRODUCT($E$5:$E$35*(($G$5:$G$35&gt;$F$5:$F$35)*$G$5:$G$35+($G$5:$G$35&lt;=$F$5:$F$35)*$F$5:$F$35))</f>
        <v>1</v>
      </c>
      <c r="Q22" s="28" t="n">
        <f aca="false">SUMPRODUCT($E$5:$E$35*(($G$5:$G$35&lt;$G$5:$G$35)*$G$5:$G$35+($G$5:$G$35&gt;=$G$5:$G$35)*$G$5:$G$35))/SUMPRODUCT($E$5:$E$35*(($G$5:$G$35&gt;$G$5:$G$35)*$G$5:$G$35+($G$5:$G$35&lt;=$G$5:$G$35)*$G$5:$G$35))</f>
        <v>1</v>
      </c>
      <c r="R22" s="28" t="n">
        <f aca="false">SUMPRODUCT($E$5:$E$35*(($G$5:$G$35&lt;$H$5:$H$35)*$G$5:$G$35+($G$5:$G$35&gt;=$H$5:$H$35)*$H$5:$H$35))/SUMPRODUCT($E$5:$E$35*(($G$5:$G$35&gt;$H$5:$H$35)*$G$5:$G$35+($G$5:$G$35&lt;=$H$5:$H$35)*$H$5:$H$35))</f>
        <v>1</v>
      </c>
      <c r="S22" s="28" t="n">
        <f aca="false">SUMPRODUCT($E$5:$E$35*(($G$5:$G$35&lt;$I$5:$I$35)*$G$5:$G$35+($G$5:$G$35&gt;=$I$5:$I$35)*$I$5:$I$35))/SUMPRODUCT($E$5:$E$35*(($G$5:$G$35&gt;$I$5:$I$35)*$G$5:$G$35+($G$5:$G$35&lt;=$I$5:$I$35)*$I$5:$I$35))</f>
        <v>1</v>
      </c>
      <c r="T22" s="28" t="n">
        <f aca="false">SUMPRODUCT($E$5:$E$35*(($G$5:$G$35&lt;$J$5:$J$35)*$G$5:$G$35+($G$5:$G$35&gt;=$J$5:$J$35)*$J$5:$J$35))/SUMPRODUCT($E$5:$E$35*(($G$5:$G$35&gt;$J$5:$J$35)*$G$5:$G$35+($G$5:$G$35&lt;=$J$5:$J$35)*$J$5:$J$35))</f>
        <v>1</v>
      </c>
    </row>
    <row r="23" customFormat="false" ht="15" hidden="false" customHeight="false" outlineLevel="0" collapsed="false">
      <c r="A23" s="24" t="s">
        <v>147</v>
      </c>
      <c r="B23" s="25" t="s">
        <v>113</v>
      </c>
      <c r="C23" s="24" t="s">
        <v>101</v>
      </c>
      <c r="D23" s="25" t="s">
        <v>145</v>
      </c>
      <c r="E23" s="26" t="n">
        <v>0</v>
      </c>
      <c r="F23" s="26" t="n">
        <v>1</v>
      </c>
      <c r="G23" s="26" t="n">
        <v>1</v>
      </c>
      <c r="H23" s="26" t="n">
        <v>1</v>
      </c>
      <c r="I23" s="26" t="n">
        <v>1</v>
      </c>
      <c r="J23" s="26" t="n">
        <v>1</v>
      </c>
      <c r="K23" s="24" t="n">
        <f aca="false">MIN(F23:J23)</f>
        <v>1</v>
      </c>
      <c r="L23" s="24" t="n">
        <f aca="false">MAX(F23:J23)</f>
        <v>1</v>
      </c>
      <c r="M23" s="24" t="n">
        <f aca="false">L23-K23</f>
        <v>0</v>
      </c>
      <c r="O23" s="27" t="s">
        <v>91</v>
      </c>
      <c r="P23" s="28" t="n">
        <f aca="false">SUMPRODUCT($E$5:$E$35*(($H$5:$H$35&lt;$F$5:$F$35)*$H$5:$H$35+($H$5:$H$35&gt;=$F$5:$F$35)*$F$5:$F$35))/SUMPRODUCT($E$5:$E$35*(($H$5:$H$35&gt;$F$5:$F$35)*$H$5:$H$35+($H$5:$H$35&lt;=$F$5:$F$35)*$F$5:$F$35))</f>
        <v>1</v>
      </c>
      <c r="Q23" s="28" t="n">
        <f aca="false">SUMPRODUCT($E$5:$E$35*(($H$5:$H$35&lt;$G$5:$G$35)*$H$5:$H$35+($H$5:$H$35&gt;=$G$5:$G$35)*$G$5:$G$35))/SUMPRODUCT($E$5:$E$35*(($H$5:$H$35&gt;$G$5:$G$35)*$H$5:$H$35+($H$5:$H$35&lt;=$G$5:$G$35)*$G$5:$G$35))</f>
        <v>1</v>
      </c>
      <c r="R23" s="28" t="n">
        <f aca="false">SUMPRODUCT($E$5:$E$35*(($H$5:$H$35&lt;$H$5:$H$35)*$H$5:$H$35+($H$5:$H$35&gt;=$H$5:$H$35)*$H$5:$H$35))/SUMPRODUCT($E$5:$E$35*(($H$5:$H$35&gt;$H$5:$H$35)*$H$5:$H$35+($H$5:$H$35&lt;=$H$5:$H$35)*$H$5:$H$35))</f>
        <v>1</v>
      </c>
      <c r="S23" s="28" t="n">
        <f aca="false">SUMPRODUCT($E$5:$E$35*(($H$5:$H$35&lt;$I$5:$I$35)*$H$5:$H$35+($H$5:$H$35&gt;=$I$5:$I$35)*$I$5:$I$35))/SUMPRODUCT($E$5:$E$35*(($H$5:$H$35&gt;$I$5:$I$35)*$H$5:$H$35+($H$5:$H$35&lt;=$I$5:$I$35)*$I$5:$I$35))</f>
        <v>1</v>
      </c>
      <c r="T23" s="28" t="n">
        <f aca="false">SUMPRODUCT($E$5:$E$35*(($H$5:$H$35&lt;$J$5:$J$35)*$H$5:$H$35+($H$5:$H$35&gt;=$J$5:$J$35)*$J$5:$J$35))/SUMPRODUCT($E$5:$E$35*(($H$5:$H$35&gt;$J$5:$J$35)*$H$5:$H$35+($H$5:$H$35&lt;=$J$5:$J$35)*$J$5:$J$35))</f>
        <v>1</v>
      </c>
    </row>
    <row r="24" customFormat="false" ht="15" hidden="false" customHeight="false" outlineLevel="0" collapsed="false">
      <c r="A24" s="24" t="s">
        <v>148</v>
      </c>
      <c r="B24" s="25" t="s">
        <v>208</v>
      </c>
      <c r="C24" s="24" t="s">
        <v>101</v>
      </c>
      <c r="D24" s="25" t="s">
        <v>145</v>
      </c>
      <c r="E24" s="26" t="n">
        <v>0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4" t="n">
        <f aca="false">MIN(F24:J24)</f>
        <v>1</v>
      </c>
      <c r="L24" s="24" t="n">
        <f aca="false">MAX(F24:J24)</f>
        <v>1</v>
      </c>
      <c r="M24" s="24" t="n">
        <f aca="false">L24-K24</f>
        <v>0</v>
      </c>
      <c r="O24" s="27" t="s">
        <v>92</v>
      </c>
      <c r="P24" s="28" t="n">
        <f aca="false">SUMPRODUCT($E$5:$E$35*(($I$5:$I$35&lt;$F$5:$F$35)*$I$5:$I$35+($I$5:$I$35&gt;=$F$5:$F$35)*$F$5:$F$35))/SUMPRODUCT($E$5:$E$35*(($I$5:$I$35&gt;$F$5:$F$35)*$I$5:$I$35+($I$5:$I$35&lt;=$F$5:$F$35)*$F$5:$F$35))</f>
        <v>1</v>
      </c>
      <c r="Q24" s="28" t="n">
        <f aca="false">SUMPRODUCT($E$5:$E$35*(($I$5:$I$35&lt;$G$5:$G$35)*$I$5:$I$35+($I$5:$I$35&gt;=$G$5:$G$35)*$G$5:$G$35))/SUMPRODUCT($E$5:$E$35*(($I$5:$I$35&gt;$G$5:$G$35)*$I$5:$I$35+($I$5:$I$35&lt;=$G$5:$G$35)*$G$5:$G$35))</f>
        <v>1</v>
      </c>
      <c r="R24" s="28" t="n">
        <f aca="false">SUMPRODUCT($E$5:$E$35*(($I$5:$I$35&lt;$H$5:$H$35)*$I$5:$I$35+($I$5:$I$35&gt;=$H$5:$H$35)*$H$5:$H$35))/SUMPRODUCT($E$5:$E$35*(($I$5:$I$35&gt;$H$5:$H$35)*$I$5:$I$35+($I$5:$I$35&lt;=$H$5:$H$35)*$H$5:$H$35))</f>
        <v>1</v>
      </c>
      <c r="S24" s="28" t="n">
        <f aca="false">SUMPRODUCT($E$5:$E$35*(($I$5:$I$35&lt;$I$5:$I$35)*$I$5:$I$35+($I$5:$I$35&gt;=$I$5:$I$35)*$I$5:$I$35))/SUMPRODUCT($E$5:$E$35*(($I$5:$I$35&gt;$I$5:$I$35)*$I$5:$I$35+($I$5:$I$35&lt;=$I$5:$I$35)*$I$5:$I$35))</f>
        <v>1</v>
      </c>
      <c r="T24" s="28" t="n">
        <f aca="false">SUMPRODUCT($E$5:$E$35*(($I$5:$I$35&lt;$J$5:$J$35)*$I$5:$I$35+($I$5:$I$35&gt;=$J$5:$J$35)*$J$5:$J$35))/SUMPRODUCT($E$5:$E$35*(($I$5:$I$35&gt;$J$5:$J$35)*$I$5:$I$35+($I$5:$I$35&lt;=$J$5:$J$35)*$J$5:$J$35))</f>
        <v>1</v>
      </c>
    </row>
    <row r="25" customFormat="false" ht="15" hidden="false" customHeight="false" outlineLevel="0" collapsed="false">
      <c r="A25" s="24" t="s">
        <v>149</v>
      </c>
      <c r="B25" s="25" t="s">
        <v>226</v>
      </c>
      <c r="C25" s="24" t="s">
        <v>101</v>
      </c>
      <c r="D25" s="25" t="s">
        <v>145</v>
      </c>
      <c r="E25" s="26" t="n">
        <v>0</v>
      </c>
      <c r="F25" s="26" t="n">
        <v>1</v>
      </c>
      <c r="G25" s="26" t="n">
        <v>1</v>
      </c>
      <c r="H25" s="26" t="n">
        <v>1</v>
      </c>
      <c r="I25" s="26" t="n">
        <v>1</v>
      </c>
      <c r="J25" s="26" t="n">
        <v>1</v>
      </c>
      <c r="K25" s="24" t="n">
        <f aca="false">MIN(F25:J25)</f>
        <v>1</v>
      </c>
      <c r="L25" s="24" t="n">
        <f aca="false">MAX(F25:J25)</f>
        <v>1</v>
      </c>
      <c r="M25" s="24" t="n">
        <f aca="false">L25-K25</f>
        <v>0</v>
      </c>
      <c r="O25" s="27" t="s">
        <v>93</v>
      </c>
      <c r="P25" s="28" t="n">
        <f aca="false">SUMPRODUCT($E$5:$E$35*(($J$5:$J$35&lt;$F$5:$F$35)*$J$5:$J$35+($J$5:$J$35&gt;=$F$5:$F$35)*$F$5:$F$35))/SUMPRODUCT($E$5:$E$35*(($J$5:$J$35&gt;$F$5:$F$35)*$J$5:$J$35+($J$5:$J$35&lt;=$F$5:$F$35)*$F$5:$F$35))</f>
        <v>1</v>
      </c>
      <c r="Q25" s="28" t="n">
        <f aca="false">SUMPRODUCT($E$5:$E$35*(($J$5:$J$35&lt;$G$5:$G$35)*$J$5:$J$35+($J$5:$J$35&gt;=$G$5:$G$35)*$G$5:$G$35))/SUMPRODUCT($E$5:$E$35*(($J$5:$J$35&gt;$G$5:$G$35)*$J$5:$J$35+($J$5:$J$35&lt;=$G$5:$G$35)*$G$5:$G$35))</f>
        <v>1</v>
      </c>
      <c r="R25" s="28" t="n">
        <f aca="false">SUMPRODUCT($E$5:$E$35*(($J$5:$J$35&lt;$H$5:$H$35)*$J$5:$J$35+($J$5:$J$35&gt;=$H$5:$H$35)*$H$5:$H$35))/SUMPRODUCT($E$5:$E$35*(($J$5:$J$35&gt;$H$5:$H$35)*$J$5:$J$35+($J$5:$J$35&lt;=$H$5:$H$35)*$H$5:$H$35))</f>
        <v>1</v>
      </c>
      <c r="S25" s="28" t="n">
        <f aca="false">SUMPRODUCT($E$5:$E$35*(($J$5:$J$35&lt;$I$5:$I$35)*$J$5:$J$35+($J$5:$J$35&gt;=$I$5:$I$35)*$I$5:$I$35))/SUMPRODUCT($E$5:$E$35*(($J$5:$J$35&gt;$I$5:$I$35)*$J$5:$J$35+($J$5:$J$35&lt;=$I$5:$I$35)*$I$5:$I$35))</f>
        <v>1</v>
      </c>
      <c r="T25" s="28" t="n">
        <f aca="false">SUMPRODUCT($E$5:$E$35*(($J$5:$J$35&lt;$J$5:$J$35)*$J$5:$J$35+($J$5:$J$35&gt;=$J$5:$J$35)*$J$5:$J$35))/SUMPRODUCT($E$5:$E$35*(($J$5:$J$35&gt;$J$5:$J$35)*$J$5:$J$35+($J$5:$J$35&lt;=$J$5:$J$35)*$J$5:$J$35))</f>
        <v>1</v>
      </c>
    </row>
    <row r="26" customFormat="false" ht="15" hidden="false" customHeight="false" outlineLevel="0" collapsed="false">
      <c r="A26" s="24" t="s">
        <v>150</v>
      </c>
      <c r="B26" s="25" t="s">
        <v>117</v>
      </c>
      <c r="C26" s="24" t="s">
        <v>101</v>
      </c>
      <c r="D26" s="25" t="s">
        <v>145</v>
      </c>
      <c r="E26" s="26" t="n">
        <v>0</v>
      </c>
      <c r="F26" s="26" t="n">
        <v>1</v>
      </c>
      <c r="G26" s="26" t="n">
        <v>1</v>
      </c>
      <c r="H26" s="26" t="n">
        <v>1</v>
      </c>
      <c r="I26" s="26" t="n">
        <v>1</v>
      </c>
      <c r="J26" s="26" t="n">
        <v>1</v>
      </c>
      <c r="K26" s="24" t="n">
        <f aca="false">MIN(F26:J26)</f>
        <v>1</v>
      </c>
      <c r="L26" s="24" t="n">
        <f aca="false">MAX(F26:J26)</f>
        <v>1</v>
      </c>
      <c r="M26" s="24" t="n">
        <f aca="false">L26-K26</f>
        <v>0</v>
      </c>
    </row>
    <row r="27" customFormat="false" ht="15" hidden="false" customHeight="false" outlineLevel="0" collapsed="false">
      <c r="A27" s="24" t="s">
        <v>152</v>
      </c>
      <c r="B27" s="25" t="s">
        <v>121</v>
      </c>
      <c r="C27" s="24" t="s">
        <v>101</v>
      </c>
      <c r="D27" s="25" t="s">
        <v>145</v>
      </c>
      <c r="E27" s="26" t="n">
        <v>0</v>
      </c>
      <c r="F27" s="26" t="n">
        <v>1</v>
      </c>
      <c r="G27" s="26" t="n">
        <v>1</v>
      </c>
      <c r="H27" s="26" t="n">
        <v>1</v>
      </c>
      <c r="I27" s="26" t="n">
        <v>1</v>
      </c>
      <c r="J27" s="26" t="n">
        <v>1</v>
      </c>
      <c r="K27" s="24" t="n">
        <f aca="false">MIN(F27:J27)</f>
        <v>1</v>
      </c>
      <c r="L27" s="24" t="n">
        <f aca="false">MAX(F27:J27)</f>
        <v>1</v>
      </c>
      <c r="M27" s="24" t="n">
        <f aca="false">L27-K27</f>
        <v>0</v>
      </c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A28" s="24" t="s">
        <v>153</v>
      </c>
      <c r="B28" s="25" t="s">
        <v>124</v>
      </c>
      <c r="C28" s="24" t="s">
        <v>101</v>
      </c>
      <c r="D28" s="25" t="s">
        <v>151</v>
      </c>
      <c r="E28" s="26" t="n">
        <v>0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4" t="n">
        <f aca="false">MIN(F28:J28)</f>
        <v>1</v>
      </c>
      <c r="L28" s="24" t="n">
        <f aca="false">MAX(F28:J28)</f>
        <v>1</v>
      </c>
      <c r="M28" s="24" t="n">
        <f aca="false">L28-K28</f>
        <v>0</v>
      </c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A29" s="24" t="s">
        <v>156</v>
      </c>
      <c r="B29" s="25" t="s">
        <v>209</v>
      </c>
      <c r="C29" s="24" t="s">
        <v>101</v>
      </c>
      <c r="D29" s="25" t="s">
        <v>151</v>
      </c>
      <c r="E29" s="26" t="n">
        <v>0</v>
      </c>
      <c r="F29" s="26" t="n">
        <v>1</v>
      </c>
      <c r="G29" s="26" t="n">
        <v>1</v>
      </c>
      <c r="H29" s="26" t="n">
        <v>1</v>
      </c>
      <c r="I29" s="26" t="n">
        <v>1</v>
      </c>
      <c r="J29" s="26" t="n">
        <v>1</v>
      </c>
      <c r="K29" s="24" t="n">
        <f aca="false">MIN(F29:J29)</f>
        <v>1</v>
      </c>
      <c r="L29" s="24" t="n">
        <f aca="false">MAX(F29:J29)</f>
        <v>1</v>
      </c>
      <c r="M29" s="24" t="n">
        <f aca="false">L29-K29</f>
        <v>0</v>
      </c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A30" s="24" t="s">
        <v>158</v>
      </c>
      <c r="B30" s="25" t="s">
        <v>127</v>
      </c>
      <c r="C30" s="24" t="s">
        <v>101</v>
      </c>
      <c r="D30" s="25" t="s">
        <v>151</v>
      </c>
      <c r="E30" s="26" t="n">
        <v>0</v>
      </c>
      <c r="F30" s="26" t="n">
        <v>1</v>
      </c>
      <c r="G30" s="26" t="n">
        <v>1</v>
      </c>
      <c r="H30" s="26" t="n">
        <v>1</v>
      </c>
      <c r="I30" s="26" t="n">
        <v>1</v>
      </c>
      <c r="J30" s="26" t="n">
        <v>1</v>
      </c>
      <c r="K30" s="24" t="n">
        <f aca="false">MIN(F30:J30)</f>
        <v>1</v>
      </c>
      <c r="L30" s="24" t="n">
        <f aca="false">MAX(F30:J30)</f>
        <v>1</v>
      </c>
      <c r="M30" s="24" t="n">
        <f aca="false">L30-K30</f>
        <v>0</v>
      </c>
      <c r="O30" s="22" t="s">
        <v>74</v>
      </c>
      <c r="P30" s="12" t="n">
        <f aca="false">S13</f>
        <v>1</v>
      </c>
      <c r="Q30" s="12" t="n">
        <f aca="false">S21</f>
        <v>1</v>
      </c>
    </row>
    <row r="31" customFormat="false" ht="15" hidden="false" customHeight="false" outlineLevel="0" collapsed="false">
      <c r="A31" s="24" t="s">
        <v>159</v>
      </c>
      <c r="B31" s="25" t="s">
        <v>136</v>
      </c>
      <c r="C31" s="24" t="s">
        <v>101</v>
      </c>
      <c r="D31" s="25" t="s">
        <v>151</v>
      </c>
      <c r="E31" s="26" t="n">
        <v>0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4" t="n">
        <f aca="false">MIN(F31:J31)</f>
        <v>1</v>
      </c>
      <c r="L31" s="24" t="n">
        <f aca="false">MAX(F31:J31)</f>
        <v>1</v>
      </c>
      <c r="M31" s="24" t="n">
        <f aca="false">L31-K31</f>
        <v>0</v>
      </c>
      <c r="O31" s="22" t="s">
        <v>75</v>
      </c>
      <c r="P31" s="12" t="n">
        <f aca="false">T13</f>
        <v>1</v>
      </c>
      <c r="Q31" s="12" t="n">
        <f aca="false">T21</f>
        <v>1</v>
      </c>
    </row>
    <row r="32" customFormat="false" ht="15" hidden="false" customHeight="false" outlineLevel="0" collapsed="false">
      <c r="A32" s="24" t="s">
        <v>160</v>
      </c>
      <c r="B32" s="25" t="s">
        <v>124</v>
      </c>
      <c r="C32" s="24" t="s">
        <v>164</v>
      </c>
      <c r="D32" s="25" t="s">
        <v>165</v>
      </c>
      <c r="E32" s="26" t="n">
        <v>0</v>
      </c>
      <c r="F32" s="26" t="n">
        <v>1</v>
      </c>
      <c r="G32" s="26" t="n">
        <v>1</v>
      </c>
      <c r="H32" s="26" t="n">
        <v>1</v>
      </c>
      <c r="I32" s="26" t="n">
        <v>1</v>
      </c>
      <c r="J32" s="26" t="n">
        <v>1</v>
      </c>
      <c r="K32" s="24" t="n">
        <f aca="false">MIN(F32:J32)</f>
        <v>1</v>
      </c>
      <c r="L32" s="24" t="n">
        <f aca="false">MAX(F32:J32)</f>
        <v>1</v>
      </c>
      <c r="M32" s="24" t="n">
        <f aca="false">L32-K32</f>
        <v>0</v>
      </c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A33" s="24" t="s">
        <v>161</v>
      </c>
      <c r="B33" s="25" t="s">
        <v>209</v>
      </c>
      <c r="C33" s="24" t="s">
        <v>164</v>
      </c>
      <c r="D33" s="25" t="s">
        <v>165</v>
      </c>
      <c r="E33" s="26" t="n">
        <v>0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4" t="n">
        <f aca="false">MIN(F33:J33)</f>
        <v>1</v>
      </c>
      <c r="L33" s="24" t="n">
        <f aca="false">MAX(F33:J33)</f>
        <v>1</v>
      </c>
      <c r="M33" s="24" t="n">
        <f aca="false">L33-K33</f>
        <v>0</v>
      </c>
      <c r="O33" s="22" t="s">
        <v>77</v>
      </c>
      <c r="P33" s="12" t="n">
        <f aca="false">S14</f>
        <v>1</v>
      </c>
      <c r="Q33" s="12" t="n">
        <f aca="false">S22</f>
        <v>1</v>
      </c>
    </row>
    <row r="34" customFormat="false" ht="15" hidden="false" customHeight="false" outlineLevel="0" collapsed="false">
      <c r="A34" s="24" t="s">
        <v>163</v>
      </c>
      <c r="B34" s="25" t="s">
        <v>127</v>
      </c>
      <c r="C34" s="24" t="s">
        <v>164</v>
      </c>
      <c r="D34" s="25" t="s">
        <v>165</v>
      </c>
      <c r="E34" s="26" t="n">
        <v>0</v>
      </c>
      <c r="F34" s="26" t="n">
        <v>1</v>
      </c>
      <c r="G34" s="26" t="n">
        <v>1</v>
      </c>
      <c r="H34" s="26" t="n">
        <v>1</v>
      </c>
      <c r="I34" s="26" t="n">
        <v>1</v>
      </c>
      <c r="J34" s="26" t="n">
        <v>1</v>
      </c>
      <c r="K34" s="24" t="n">
        <f aca="false">MIN(F34:J34)</f>
        <v>1</v>
      </c>
      <c r="L34" s="24" t="n">
        <f aca="false">MAX(F34:J34)</f>
        <v>1</v>
      </c>
      <c r="M34" s="24" t="n">
        <f aca="false">L34-K34</f>
        <v>0</v>
      </c>
      <c r="O34" s="22" t="s">
        <v>78</v>
      </c>
      <c r="P34" s="12" t="n">
        <f aca="false">T14</f>
        <v>1</v>
      </c>
      <c r="Q34" s="12" t="n">
        <f aca="false">T22</f>
        <v>1</v>
      </c>
    </row>
    <row r="35" customFormat="false" ht="15" hidden="false" customHeight="false" outlineLevel="0" collapsed="false">
      <c r="A35" s="24" t="s">
        <v>166</v>
      </c>
      <c r="B35" s="25" t="s">
        <v>136</v>
      </c>
      <c r="C35" s="24" t="s">
        <v>164</v>
      </c>
      <c r="D35" s="25" t="s">
        <v>165</v>
      </c>
      <c r="E35" s="26" t="n">
        <v>0</v>
      </c>
      <c r="F35" s="26" t="n">
        <v>1</v>
      </c>
      <c r="G35" s="26" t="n">
        <v>1</v>
      </c>
      <c r="H35" s="26" t="n">
        <v>1</v>
      </c>
      <c r="I35" s="26" t="n">
        <v>1</v>
      </c>
      <c r="J35" s="26" t="n">
        <v>1</v>
      </c>
      <c r="K35" s="24" t="n">
        <f aca="false">MIN(F35:J35)</f>
        <v>1</v>
      </c>
      <c r="L35" s="24" t="n">
        <f aca="false">MAX(F35:J35)</f>
        <v>1</v>
      </c>
      <c r="M35" s="24" t="n">
        <f aca="false">L35-K35</f>
        <v>0</v>
      </c>
      <c r="O35" s="22" t="s">
        <v>79</v>
      </c>
      <c r="P35" s="12" t="n">
        <f aca="false">S15</f>
        <v>1</v>
      </c>
      <c r="Q35" s="12" t="n">
        <f aca="false">S23</f>
        <v>1</v>
      </c>
    </row>
    <row r="36" customFormat="false" ht="15" hidden="false" customHeight="false" outlineLevel="0" collapsed="false">
      <c r="D36" s="29" t="s">
        <v>178</v>
      </c>
      <c r="F36" s="13" t="n">
        <f aca="false">SUM(F5:F35)</f>
        <v>49</v>
      </c>
      <c r="G36" s="13" t="n">
        <f aca="false">SUM(G5:G35)</f>
        <v>49</v>
      </c>
      <c r="H36" s="13" t="n">
        <f aca="false">SUM(H5:H35)</f>
        <v>49</v>
      </c>
      <c r="I36" s="13" t="n">
        <f aca="false">SUM(I5:I35)</f>
        <v>49</v>
      </c>
      <c r="J36" s="13" t="n">
        <f aca="false">SUM(J5:J35)</f>
        <v>49</v>
      </c>
      <c r="K36" s="13" t="n">
        <f aca="false">SUM(K5:K35)</f>
        <v>49</v>
      </c>
      <c r="L36" s="13" t="n">
        <f aca="false">SUM(L5:L35)</f>
        <v>49</v>
      </c>
      <c r="O36" s="22" t="s">
        <v>80</v>
      </c>
      <c r="P36" s="12" t="n">
        <f aca="false">T15</f>
        <v>1</v>
      </c>
      <c r="Q36" s="12" t="n">
        <f aca="false">T23</f>
        <v>1</v>
      </c>
    </row>
    <row r="37" customFormat="false" ht="15" hidden="false" customHeight="false" outlineLevel="0" collapsed="false">
      <c r="D37" s="29" t="s">
        <v>180</v>
      </c>
      <c r="F37" s="13" t="n">
        <f aca="false">SUMPRODUCT($E$5:$E$35,F5:F35)</f>
        <v>32</v>
      </c>
      <c r="G37" s="13" t="n">
        <f aca="false">SUMPRODUCT($E$5:$E$35,G5:G35)</f>
        <v>32</v>
      </c>
      <c r="H37" s="13" t="n">
        <f aca="false">SUMPRODUCT($E$5:$E$35,H5:H35)</f>
        <v>32</v>
      </c>
      <c r="I37" s="13" t="n">
        <f aca="false">SUMPRODUCT($E$5:$E$35,I5:I35)</f>
        <v>32</v>
      </c>
      <c r="J37" s="13" t="n">
        <f aca="false">SUMPRODUCT($E$5:$E$35,J5:J35)</f>
        <v>32</v>
      </c>
      <c r="K37" s="13" t="n">
        <f aca="false">SUMPRODUCT($E$5:$E$35,K5:K35)</f>
        <v>32</v>
      </c>
      <c r="L37" s="13" t="n">
        <f aca="false">SUMPRODUCT($E$5:$E$35,L5:L35)</f>
        <v>32</v>
      </c>
      <c r="O37" s="22" t="s">
        <v>81</v>
      </c>
      <c r="P37" s="12" t="n">
        <f aca="false">T16</f>
        <v>1</v>
      </c>
      <c r="Q37" s="12" t="n">
        <f aca="false">T24</f>
        <v>1</v>
      </c>
    </row>
    <row r="38" customFormat="false" ht="15" hidden="false" customHeight="false" outlineLevel="0" collapsed="false">
      <c r="D38" s="29" t="s">
        <v>182</v>
      </c>
      <c r="F38" s="13" t="n">
        <f aca="false">COUNTIF(F5:F35,"&gt;0")</f>
        <v>31</v>
      </c>
      <c r="G38" s="13" t="n">
        <f aca="false">COUNTIF(G5:G35,"&gt;0")</f>
        <v>31</v>
      </c>
      <c r="H38" s="13" t="n">
        <f aca="false">COUNTIF(H5:H35,"&gt;0")</f>
        <v>31</v>
      </c>
      <c r="I38" s="13" t="n">
        <f aca="false">COUNTIF(I5:I35,"&gt;0")</f>
        <v>31</v>
      </c>
      <c r="J38" s="13" t="n">
        <f aca="false">COUNTIF(J5:J35,"&gt;0")</f>
        <v>31</v>
      </c>
    </row>
    <row r="39" customFormat="false" ht="15" hidden="false" customHeight="false" outlineLevel="0" collapsed="false">
      <c r="D39" s="29" t="s">
        <v>184</v>
      </c>
      <c r="F39" s="13" t="n">
        <f aca="false">COUNTIFS(F5:F35,"&gt;0",$E$5:$E$35,1)</f>
        <v>14</v>
      </c>
      <c r="G39" s="13" t="n">
        <f aca="false">COUNTIFS(G5:G35,"&gt;0",$E$5:$E$35,1)</f>
        <v>14</v>
      </c>
      <c r="H39" s="13" t="n">
        <f aca="false">COUNTIFS(H5:H35,"&gt;0",$E$5:$E$35,1)</f>
        <v>14</v>
      </c>
      <c r="I39" s="13" t="n">
        <f aca="false">COUNTIFS(I5:I35,"&gt;0",$E$5:$E$35,1)</f>
        <v>14</v>
      </c>
      <c r="J39" s="13" t="n">
        <f aca="false">COUNTIFS(J5:J35,"&gt;0",$E$5:$E$35,1)</f>
        <v>14</v>
      </c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O40" s="8" t="s">
        <v>175</v>
      </c>
      <c r="P40" s="12" t="n">
        <f aca="false">AVERAGE(P28:P37)</f>
        <v>1</v>
      </c>
      <c r="Q40" s="12" t="n">
        <f aca="false">AVERAGE(Q28:Q37)</f>
        <v>1</v>
      </c>
    </row>
    <row r="41" customFormat="false" ht="15" hidden="false" customHeight="false" outlineLevel="0" collapsed="false">
      <c r="O41" s="8" t="s">
        <v>177</v>
      </c>
      <c r="P41" s="12" t="n">
        <f aca="false">STDEV(P28:P37)</f>
        <v>0</v>
      </c>
      <c r="Q41" s="12" t="n">
        <f aca="false">STDEV(Q28:Q37)</f>
        <v>0</v>
      </c>
    </row>
    <row r="42" customFormat="false" ht="15" hidden="false" customHeight="false" outlineLevel="0" collapsed="false">
      <c r="O42" s="8" t="s">
        <v>179</v>
      </c>
      <c r="P42" s="12" t="n">
        <f aca="false">MIN(P28:P37)</f>
        <v>1</v>
      </c>
      <c r="Q42" s="12" t="n">
        <f aca="false">MIN(Q28:Q37)</f>
        <v>1</v>
      </c>
    </row>
    <row r="43" customFormat="false" ht="15" hidden="false" customHeight="false" outlineLevel="0" collapsed="false"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O44" s="8" t="s">
        <v>183</v>
      </c>
      <c r="P44" s="12" t="n">
        <f aca="false">K36/L36</f>
        <v>1</v>
      </c>
      <c r="Q44" s="12" t="n">
        <f aca="false">K37/L37</f>
        <v>1</v>
      </c>
    </row>
    <row r="45" customFormat="false" ht="15" hidden="false" customHeight="false" outlineLevel="0" collapsed="false">
      <c r="O45" s="8" t="s">
        <v>185</v>
      </c>
      <c r="P45" s="30" t="n">
        <f aca="false">AVERAGE(F38:J38)</f>
        <v>31</v>
      </c>
      <c r="Q45" s="30" t="n">
        <f aca="false">AVERAGE(F39:J39)</f>
        <v>14</v>
      </c>
    </row>
    <row r="46" customFormat="false" ht="15" hidden="false" customHeight="false" outlineLevel="0" collapsed="false">
      <c r="O46" s="8" t="s">
        <v>186</v>
      </c>
      <c r="P46" s="30" t="n">
        <f aca="false">AVERAGE(F36:J36)</f>
        <v>49</v>
      </c>
      <c r="Q46" s="30" t="n">
        <f aca="false">AVERAGE(F37:J37)</f>
        <v>32</v>
      </c>
    </row>
  </sheetData>
  <conditionalFormatting sqref="A5:M35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227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15" hidden="false" customHeight="false" outlineLevel="0" collapsed="false">
      <c r="A5" s="24" t="s">
        <v>99</v>
      </c>
      <c r="B5" s="25" t="s">
        <v>100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228</v>
      </c>
    </row>
    <row r="6" customFormat="false" ht="35.05" hidden="false" customHeight="false" outlineLevel="0" collapsed="false">
      <c r="A6" s="24" t="s">
        <v>104</v>
      </c>
      <c r="B6" s="25" t="s">
        <v>109</v>
      </c>
      <c r="C6" s="24" t="s">
        <v>101</v>
      </c>
      <c r="D6" s="25" t="s">
        <v>110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229</v>
      </c>
    </row>
    <row r="7" customFormat="false" ht="15" hidden="false" customHeight="false" outlineLevel="0" collapsed="false">
      <c r="A7" s="24" t="s">
        <v>108</v>
      </c>
      <c r="B7" s="25" t="s">
        <v>109</v>
      </c>
      <c r="C7" s="24" t="s">
        <v>101</v>
      </c>
      <c r="D7" s="25" t="s">
        <v>113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230</v>
      </c>
    </row>
    <row r="8" customFormat="false" ht="15" hidden="false" customHeight="false" outlineLevel="0" collapsed="false">
      <c r="A8" s="24" t="s">
        <v>112</v>
      </c>
      <c r="B8" s="25" t="s">
        <v>116</v>
      </c>
      <c r="C8" s="24" t="s">
        <v>101</v>
      </c>
      <c r="D8" s="25" t="s">
        <v>117</v>
      </c>
      <c r="E8" s="26" t="n">
        <v>1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4" t="n">
        <f aca="false">MIN(F8:J8)</f>
        <v>2</v>
      </c>
      <c r="L8" s="24" t="n">
        <f aca="false">MAX(F8:J8)</f>
        <v>2</v>
      </c>
      <c r="M8" s="24" t="n">
        <f aca="false">L8-K8</f>
        <v>0</v>
      </c>
      <c r="O8" s="8" t="s">
        <v>92</v>
      </c>
      <c r="P8" s="22" t="s">
        <v>231</v>
      </c>
    </row>
    <row r="9" customFormat="false" ht="15" hidden="false" customHeight="false" outlineLevel="0" collapsed="false">
      <c r="A9" s="24" t="s">
        <v>115</v>
      </c>
      <c r="B9" s="25" t="s">
        <v>120</v>
      </c>
      <c r="C9" s="24" t="s">
        <v>101</v>
      </c>
      <c r="D9" s="25" t="s">
        <v>121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4" t="n">
        <f aca="false">MIN(F9:J9)</f>
        <v>1</v>
      </c>
      <c r="L9" s="24" t="n">
        <f aca="false">MAX(F9:J9)</f>
        <v>1</v>
      </c>
      <c r="M9" s="24" t="n">
        <f aca="false">L9-K9</f>
        <v>0</v>
      </c>
      <c r="O9" s="8" t="s">
        <v>93</v>
      </c>
      <c r="P9" s="22" t="s">
        <v>232</v>
      </c>
    </row>
    <row r="10" customFormat="false" ht="15" hidden="false" customHeight="false" outlineLevel="0" collapsed="false">
      <c r="A10" s="24" t="s">
        <v>119</v>
      </c>
      <c r="B10" s="25" t="s">
        <v>109</v>
      </c>
      <c r="C10" s="24" t="s">
        <v>136</v>
      </c>
      <c r="D10" s="25" t="s">
        <v>116</v>
      </c>
      <c r="E10" s="26" t="n">
        <v>1</v>
      </c>
      <c r="F10" s="26" t="n">
        <v>2</v>
      </c>
      <c r="G10" s="26" t="n">
        <v>2</v>
      </c>
      <c r="H10" s="26" t="n">
        <v>2</v>
      </c>
      <c r="I10" s="26" t="n">
        <v>2</v>
      </c>
      <c r="J10" s="26" t="n">
        <v>2</v>
      </c>
      <c r="K10" s="24" t="n">
        <f aca="false">MIN(F10:J10)</f>
        <v>2</v>
      </c>
      <c r="L10" s="24" t="n">
        <f aca="false">MAX(F10:J10)</f>
        <v>2</v>
      </c>
      <c r="M10" s="24" t="n">
        <f aca="false">L10-K10</f>
        <v>0</v>
      </c>
    </row>
    <row r="11" customFormat="false" ht="15" hidden="false" customHeight="false" outlineLevel="0" collapsed="false">
      <c r="A11" s="24" t="s">
        <v>122</v>
      </c>
      <c r="B11" s="25" t="s">
        <v>116</v>
      </c>
      <c r="C11" s="24" t="s">
        <v>124</v>
      </c>
      <c r="D11" s="25" t="s">
        <v>120</v>
      </c>
      <c r="E11" s="26" t="n">
        <v>1</v>
      </c>
      <c r="F11" s="26" t="n">
        <v>2</v>
      </c>
      <c r="G11" s="26" t="n">
        <v>2</v>
      </c>
      <c r="H11" s="26" t="n">
        <v>2</v>
      </c>
      <c r="I11" s="26" t="n">
        <v>2</v>
      </c>
      <c r="J11" s="26" t="n">
        <v>2</v>
      </c>
      <c r="K11" s="24" t="n">
        <f aca="false">MIN(F11:J11)</f>
        <v>2</v>
      </c>
      <c r="L11" s="24" t="n">
        <f aca="false">MAX(F11:J11)</f>
        <v>2</v>
      </c>
      <c r="M11" s="24" t="n">
        <f aca="false">L11-K11</f>
        <v>0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116</v>
      </c>
      <c r="C12" s="24" t="s">
        <v>127</v>
      </c>
      <c r="D12" s="25" t="s">
        <v>100</v>
      </c>
      <c r="E12" s="26" t="n">
        <v>1</v>
      </c>
      <c r="F12" s="26" t="n">
        <v>2</v>
      </c>
      <c r="G12" s="26" t="n">
        <v>2</v>
      </c>
      <c r="H12" s="26" t="n">
        <v>2</v>
      </c>
      <c r="I12" s="26" t="n">
        <v>2</v>
      </c>
      <c r="J12" s="26" t="n">
        <v>2</v>
      </c>
      <c r="K12" s="24" t="n">
        <f aca="false">MIN(F12:J12)</f>
        <v>2</v>
      </c>
      <c r="L12" s="24" t="n">
        <f aca="false">MAX(F12:J12)</f>
        <v>2</v>
      </c>
      <c r="M12" s="24" t="n">
        <f aca="false">L12-K12</f>
        <v>0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102</v>
      </c>
      <c r="C13" s="24" t="s">
        <v>101</v>
      </c>
      <c r="D13" s="25" t="s">
        <v>145</v>
      </c>
      <c r="E13" s="26" t="n">
        <v>0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4" t="n">
        <f aca="false">MIN(F13:J13)</f>
        <v>1</v>
      </c>
      <c r="L13" s="24" t="n">
        <f aca="false">MAX(F13:J13)</f>
        <v>1</v>
      </c>
      <c r="M13" s="24" t="n">
        <f aca="false">L13-K13</f>
        <v>0</v>
      </c>
      <c r="O13" s="27" t="s">
        <v>89</v>
      </c>
      <c r="P13" s="28" t="n">
        <f aca="false">SUMPRODUCT((($F$5:$F$22&lt;$F$5:$F$22)*$F$5:$F$22+($F$5:$F$22&gt;=$F$5:$F$22)*$F$5:$F$22))/SUMPRODUCT((($F$5:$F$22&gt;$F$5:$F$22)*$F$5:$F$22+($F$5:$F$22&lt;=$F$5:$F$22)*$F$5:$F$22))</f>
        <v>1</v>
      </c>
      <c r="Q13" s="28" t="n">
        <f aca="false">SUMPRODUCT((($F$5:$F$22&lt;$G$5:$G$22)*$F$5:$F$22+($F$5:$F$22&gt;=$G$5:$G$22)*$G$5:$G$22))/SUMPRODUCT((($F$5:$F$22&gt;$G$5:$G$22)*$F$5:$F$22+($F$5:$F$22&lt;=$G$5:$G$22)*$G$5:$G$22))</f>
        <v>1</v>
      </c>
      <c r="R13" s="28" t="n">
        <f aca="false">SUMPRODUCT((($F$5:$F$22&lt;$H$5:$H$22)*$F$5:$F$22+($F$5:$F$22&gt;=$H$5:$H$22)*$H$5:$H$22))/SUMPRODUCT((($F$5:$F$22&gt;$H$5:$H$22)*$F$5:$F$22+($F$5:$F$22&lt;=$H$5:$H$22)*$H$5:$H$22))</f>
        <v>1</v>
      </c>
      <c r="S13" s="28" t="n">
        <f aca="false">SUMPRODUCT((($F$5:$F$22&lt;$I$5:$I$22)*$F$5:$F$22+($F$5:$F$22&gt;=$I$5:$I$22)*$I$5:$I$22))/SUMPRODUCT((($F$5:$F$22&gt;$I$5:$I$22)*$F$5:$F$22+($F$5:$F$22&lt;=$I$5:$I$22)*$I$5:$I$22))</f>
        <v>1</v>
      </c>
      <c r="T13" s="28" t="n">
        <f aca="false">SUMPRODUCT((($F$5:$F$22&lt;$J$5:$J$22)*$F$5:$F$22+($F$5:$F$22&gt;=$J$5:$J$22)*$J$5:$J$22))/SUMPRODUCT((($F$5:$F$22&gt;$J$5:$J$22)*$F$5:$F$22+($F$5:$F$22&lt;=$J$5:$J$22)*$J$5:$J$22))</f>
        <v>1</v>
      </c>
    </row>
    <row r="14" customFormat="false" ht="15" hidden="false" customHeight="false" outlineLevel="0" collapsed="false">
      <c r="A14" s="24" t="s">
        <v>130</v>
      </c>
      <c r="B14" s="25" t="s">
        <v>113</v>
      </c>
      <c r="C14" s="24" t="s">
        <v>101</v>
      </c>
      <c r="D14" s="25" t="s">
        <v>145</v>
      </c>
      <c r="E14" s="26" t="n">
        <v>0</v>
      </c>
      <c r="F14" s="26" t="n">
        <v>1</v>
      </c>
      <c r="G14" s="26" t="n">
        <v>1</v>
      </c>
      <c r="H14" s="26" t="n">
        <v>1</v>
      </c>
      <c r="I14" s="26" t="n">
        <v>1</v>
      </c>
      <c r="J14" s="26" t="n">
        <v>1</v>
      </c>
      <c r="K14" s="24" t="n">
        <f aca="false">MIN(F14:J14)</f>
        <v>1</v>
      </c>
      <c r="L14" s="24" t="n">
        <f aca="false">MAX(F14:J14)</f>
        <v>1</v>
      </c>
      <c r="M14" s="24" t="n">
        <f aca="false">L14-K14</f>
        <v>0</v>
      </c>
      <c r="O14" s="27" t="s">
        <v>90</v>
      </c>
      <c r="P14" s="28" t="n">
        <f aca="false">SUMPRODUCT((($G$5:$G$22&lt;$F$5:$F$22)*$G$5:$G$22+($G$5:$G$22&gt;=$F$5:$F$22)*$F$5:$F$22))/SUMPRODUCT((($G$5:$G$22&gt;$F$5:$F$22)*$G$5:$G$22+($G$5:$G$22&lt;=$F$5:$F$22)*$F$5:$F$22))</f>
        <v>1</v>
      </c>
      <c r="Q14" s="28" t="n">
        <f aca="false">SUMPRODUCT((($G$5:$G$22&lt;$G$5:$G$22)*$G$5:$G$22+($G$5:$G$22&gt;=$G$5:$G$22)*$G$5:$G$22))/SUMPRODUCT((($G$5:$G$22&gt;$G$5:$G$22)*$G$5:$G$22+($G$5:$G$22&lt;=$G$5:$G$22)*$G$5:$G$22))</f>
        <v>1</v>
      </c>
      <c r="R14" s="28" t="n">
        <f aca="false">SUMPRODUCT((($G$5:$G$22&lt;$H$5:$H$22)*$G$5:$G$22+($G$5:$G$22&gt;=$H$5:$H$22)*$H$5:$H$22))/SUMPRODUCT((($G$5:$G$22&gt;$H$5:$H$22)*$G$5:$G$22+($G$5:$G$22&lt;=$H$5:$H$22)*$H$5:$H$22))</f>
        <v>1</v>
      </c>
      <c r="S14" s="28" t="n">
        <f aca="false">SUMPRODUCT((($G$5:$G$22&lt;$I$5:$I$22)*$G$5:$G$22+($G$5:$G$22&gt;=$I$5:$I$22)*$I$5:$I$22))/SUMPRODUCT((($G$5:$G$22&gt;$I$5:$I$22)*$G$5:$G$22+($G$5:$G$22&lt;=$I$5:$I$22)*$I$5:$I$22))</f>
        <v>1</v>
      </c>
      <c r="T14" s="28" t="n">
        <f aca="false">SUMPRODUCT((($G$5:$G$22&lt;$J$5:$J$22)*$G$5:$G$22+($G$5:$G$22&gt;=$J$5:$J$22)*$J$5:$J$22))/SUMPRODUCT((($G$5:$G$22&gt;$J$5:$J$22)*$G$5:$G$22+($G$5:$G$22&lt;=$J$5:$J$22)*$J$5:$J$22))</f>
        <v>1</v>
      </c>
    </row>
    <row r="15" customFormat="false" ht="15" hidden="false" customHeight="false" outlineLevel="0" collapsed="false">
      <c r="A15" s="24" t="s">
        <v>132</v>
      </c>
      <c r="B15" s="25" t="s">
        <v>117</v>
      </c>
      <c r="C15" s="24" t="s">
        <v>101</v>
      </c>
      <c r="D15" s="25" t="s">
        <v>145</v>
      </c>
      <c r="E15" s="26" t="n">
        <v>0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4" t="n">
        <f aca="false">MIN(F15:J15)</f>
        <v>1</v>
      </c>
      <c r="L15" s="24" t="n">
        <f aca="false">MAX(F15:J15)</f>
        <v>1</v>
      </c>
      <c r="M15" s="24" t="n">
        <f aca="false">L15-K15</f>
        <v>0</v>
      </c>
      <c r="O15" s="27" t="s">
        <v>91</v>
      </c>
      <c r="P15" s="28" t="n">
        <f aca="false">SUMPRODUCT((($H$5:$H$22&lt;$F$5:$F$22)*$H$5:$H$22+($H$5:$H$22&gt;=$F$5:$F$22)*$F$5:$F$22))/SUMPRODUCT((($H$5:$H$22&gt;$F$5:$F$22)*$H$5:$H$22+($H$5:$H$22&lt;=$F$5:$F$22)*$F$5:$F$22))</f>
        <v>1</v>
      </c>
      <c r="Q15" s="28" t="n">
        <f aca="false">SUMPRODUCT((($H$5:$H$22&lt;$G$5:$G$22)*$H$5:$H$22+($H$5:$H$22&gt;=$G$5:$G$22)*$G$5:$G$22))/SUMPRODUCT((($H$5:$H$22&gt;$G$5:$G$22)*$H$5:$H$22+($H$5:$H$22&lt;=$G$5:$G$22)*$G$5:$G$22))</f>
        <v>1</v>
      </c>
      <c r="R15" s="28" t="n">
        <f aca="false">SUMPRODUCT((($H$5:$H$22&lt;$H$5:$H$22)*$H$5:$H$22+($H$5:$H$22&gt;=$H$5:$H$22)*$H$5:$H$22))/SUMPRODUCT((($H$5:$H$22&gt;$H$5:$H$22)*$H$5:$H$22+($H$5:$H$22&lt;=$H$5:$H$22)*$H$5:$H$22))</f>
        <v>1</v>
      </c>
      <c r="S15" s="28" t="n">
        <f aca="false">SUMPRODUCT((($H$5:$H$22&lt;$I$5:$I$22)*$H$5:$H$22+($H$5:$H$22&gt;=$I$5:$I$22)*$I$5:$I$22))/SUMPRODUCT((($H$5:$H$22&gt;$I$5:$I$22)*$H$5:$H$22+($H$5:$H$22&lt;=$I$5:$I$22)*$I$5:$I$22))</f>
        <v>1</v>
      </c>
      <c r="T15" s="28" t="n">
        <f aca="false">SUMPRODUCT((($H$5:$H$22&lt;$J$5:$J$22)*$H$5:$H$22+($H$5:$H$22&gt;=$J$5:$J$22)*$J$5:$J$22))/SUMPRODUCT((($H$5:$H$22&gt;$J$5:$J$22)*$H$5:$H$22+($H$5:$H$22&lt;=$J$5:$J$22)*$J$5:$J$22))</f>
        <v>1</v>
      </c>
    </row>
    <row r="16" customFormat="false" ht="15" hidden="false" customHeight="false" outlineLevel="0" collapsed="false">
      <c r="A16" s="24" t="s">
        <v>135</v>
      </c>
      <c r="B16" s="25" t="s">
        <v>121</v>
      </c>
      <c r="C16" s="24" t="s">
        <v>101</v>
      </c>
      <c r="D16" s="25" t="s">
        <v>145</v>
      </c>
      <c r="E16" s="26" t="n">
        <v>0</v>
      </c>
      <c r="F16" s="26" t="n">
        <v>1</v>
      </c>
      <c r="G16" s="26" t="n">
        <v>1</v>
      </c>
      <c r="H16" s="26" t="n">
        <v>1</v>
      </c>
      <c r="I16" s="26" t="n">
        <v>1</v>
      </c>
      <c r="J16" s="26" t="n">
        <v>1</v>
      </c>
      <c r="K16" s="24" t="n">
        <f aca="false">MIN(F16:J16)</f>
        <v>1</v>
      </c>
      <c r="L16" s="24" t="n">
        <f aca="false">MAX(F16:J16)</f>
        <v>1</v>
      </c>
      <c r="M16" s="24" t="n">
        <f aca="false">L16-K16</f>
        <v>0</v>
      </c>
      <c r="O16" s="27" t="s">
        <v>92</v>
      </c>
      <c r="P16" s="28" t="n">
        <f aca="false">SUMPRODUCT((($I$5:$I$22&lt;$F$5:$F$22)*$I$5:$I$22+($I$5:$I$22&gt;=$F$5:$F$22)*$F$5:$F$22))/SUMPRODUCT((($I$5:$I$22&gt;$F$5:$F$22)*$I$5:$I$22+($I$5:$I$22&lt;=$F$5:$F$22)*$F$5:$F$22))</f>
        <v>1</v>
      </c>
      <c r="Q16" s="28" t="n">
        <f aca="false">SUMPRODUCT((($I$5:$I$22&lt;$G$5:$G$22)*$I$5:$I$22+($I$5:$I$22&gt;=$G$5:$G$22)*$G$5:$G$22))/SUMPRODUCT((($I$5:$I$22&gt;$G$5:$G$22)*$I$5:$I$22+($I$5:$I$22&lt;=$G$5:$G$22)*$G$5:$G$22))</f>
        <v>1</v>
      </c>
      <c r="R16" s="28" t="n">
        <f aca="false">SUMPRODUCT((($I$5:$I$22&lt;$H$5:$H$22)*$I$5:$I$22+($I$5:$I$22&gt;=$H$5:$H$22)*$H$5:$H$22))/SUMPRODUCT((($I$5:$I$22&gt;$H$5:$H$22)*$I$5:$I$22+($I$5:$I$22&lt;=$H$5:$H$22)*$H$5:$H$22))</f>
        <v>1</v>
      </c>
      <c r="S16" s="28" t="n">
        <f aca="false">SUMPRODUCT((($I$5:$I$22&lt;$I$5:$I$22)*$I$5:$I$22+($I$5:$I$22&gt;=$I$5:$I$22)*$I$5:$I$22))/SUMPRODUCT((($I$5:$I$22&gt;$I$5:$I$22)*$I$5:$I$22+($I$5:$I$22&lt;=$I$5:$I$22)*$I$5:$I$22))</f>
        <v>1</v>
      </c>
      <c r="T16" s="28" t="n">
        <f aca="false">SUMPRODUCT((($I$5:$I$22&lt;$J$5:$J$22)*$I$5:$I$22+($I$5:$I$22&gt;=$J$5:$J$22)*$J$5:$J$22))/SUMPRODUCT((($I$5:$I$22&gt;$J$5:$J$22)*$I$5:$I$22+($I$5:$I$22&lt;=$J$5:$J$22)*$J$5:$J$22))</f>
        <v>1</v>
      </c>
    </row>
    <row r="17" customFormat="false" ht="15" hidden="false" customHeight="false" outlineLevel="0" collapsed="false">
      <c r="A17" s="24" t="s">
        <v>137</v>
      </c>
      <c r="B17" s="25" t="s">
        <v>124</v>
      </c>
      <c r="C17" s="24" t="s">
        <v>101</v>
      </c>
      <c r="D17" s="25" t="s">
        <v>151</v>
      </c>
      <c r="E17" s="26" t="n">
        <v>0</v>
      </c>
      <c r="F17" s="26" t="n">
        <v>1</v>
      </c>
      <c r="G17" s="26" t="n">
        <v>1</v>
      </c>
      <c r="H17" s="26" t="n">
        <v>1</v>
      </c>
      <c r="I17" s="26" t="n">
        <v>1</v>
      </c>
      <c r="J17" s="26" t="n">
        <v>1</v>
      </c>
      <c r="K17" s="24" t="n">
        <f aca="false">MIN(F17:J17)</f>
        <v>1</v>
      </c>
      <c r="L17" s="24" t="n">
        <f aca="false">MAX(F17:J17)</f>
        <v>1</v>
      </c>
      <c r="M17" s="24" t="n">
        <f aca="false">L17-K17</f>
        <v>0</v>
      </c>
      <c r="O17" s="27" t="s">
        <v>93</v>
      </c>
      <c r="P17" s="28" t="n">
        <f aca="false">SUMPRODUCT((($J$5:$J$22&lt;$F$5:$F$22)*$J$5:$J$22+($J$5:$J$22&gt;=$F$5:$F$22)*$F$5:$F$22))/SUMPRODUCT((($J$5:$J$22&gt;$F$5:$F$22)*$J$5:$J$22+($J$5:$J$22&lt;=$F$5:$F$22)*$F$5:$F$22))</f>
        <v>1</v>
      </c>
      <c r="Q17" s="28" t="n">
        <f aca="false">SUMPRODUCT((($J$5:$J$22&lt;$G$5:$G$22)*$J$5:$J$22+($J$5:$J$22&gt;=$G$5:$G$22)*$G$5:$G$22))/SUMPRODUCT((($J$5:$J$22&gt;$G$5:$G$22)*$J$5:$J$22+($J$5:$J$22&lt;=$G$5:$G$22)*$G$5:$G$22))</f>
        <v>1</v>
      </c>
      <c r="R17" s="28" t="n">
        <f aca="false">SUMPRODUCT((($J$5:$J$22&lt;$H$5:$H$22)*$J$5:$J$22+($J$5:$J$22&gt;=$H$5:$H$22)*$H$5:$H$22))/SUMPRODUCT((($J$5:$J$22&gt;$H$5:$H$22)*$J$5:$J$22+($J$5:$J$22&lt;=$H$5:$H$22)*$H$5:$H$22))</f>
        <v>1</v>
      </c>
      <c r="S17" s="28" t="n">
        <f aca="false">SUMPRODUCT((($J$5:$J$22&lt;$I$5:$I$22)*$J$5:$J$22+($J$5:$J$22&gt;=$I$5:$I$22)*$I$5:$I$22))/SUMPRODUCT((($J$5:$J$22&gt;$I$5:$I$22)*$J$5:$J$22+($J$5:$J$22&lt;=$I$5:$I$22)*$I$5:$I$22))</f>
        <v>1</v>
      </c>
      <c r="T17" s="28" t="n">
        <f aca="false">SUMPRODUCT((($J$5:$J$22&lt;$J$5:$J$22)*$J$5:$J$22+($J$5:$J$22&gt;=$J$5:$J$22)*$J$5:$J$22))/SUMPRODUCT((($J$5:$J$22&gt;$J$5:$J$22)*$J$5:$J$22+($J$5:$J$22&lt;=$J$5:$J$22)*$J$5:$J$22))</f>
        <v>1</v>
      </c>
    </row>
    <row r="18" customFormat="false" ht="15" hidden="false" customHeight="false" outlineLevel="0" collapsed="false">
      <c r="A18" s="24" t="s">
        <v>140</v>
      </c>
      <c r="B18" s="25" t="s">
        <v>127</v>
      </c>
      <c r="C18" s="24" t="s">
        <v>101</v>
      </c>
      <c r="D18" s="25" t="s">
        <v>151</v>
      </c>
      <c r="E18" s="26" t="n">
        <v>0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4" t="n">
        <f aca="false">MIN(F18:J18)</f>
        <v>1</v>
      </c>
      <c r="L18" s="24" t="n">
        <f aca="false">MAX(F18:J18)</f>
        <v>1</v>
      </c>
      <c r="M18" s="24" t="n">
        <f aca="false">L18-K18</f>
        <v>0</v>
      </c>
    </row>
    <row r="19" customFormat="false" ht="15" hidden="false" customHeight="false" outlineLevel="0" collapsed="false">
      <c r="A19" s="24" t="s">
        <v>141</v>
      </c>
      <c r="B19" s="25" t="s">
        <v>136</v>
      </c>
      <c r="C19" s="24" t="s">
        <v>101</v>
      </c>
      <c r="D19" s="25" t="s">
        <v>151</v>
      </c>
      <c r="E19" s="26" t="n">
        <v>0</v>
      </c>
      <c r="F19" s="26" t="n">
        <v>1</v>
      </c>
      <c r="G19" s="26" t="n">
        <v>1</v>
      </c>
      <c r="H19" s="26" t="n">
        <v>1</v>
      </c>
      <c r="I19" s="26" t="n">
        <v>1</v>
      </c>
      <c r="J19" s="26" t="n">
        <v>1</v>
      </c>
      <c r="K19" s="24" t="n">
        <f aca="false">MIN(F19:J19)</f>
        <v>1</v>
      </c>
      <c r="L19" s="24" t="n">
        <f aca="false">MAX(F19:J19)</f>
        <v>1</v>
      </c>
      <c r="M19" s="24" t="n">
        <f aca="false">L19-K19</f>
        <v>0</v>
      </c>
      <c r="O19" s="17" t="s">
        <v>142</v>
      </c>
    </row>
    <row r="20" customFormat="false" ht="15" hidden="false" customHeight="false" outlineLevel="0" collapsed="false">
      <c r="A20" s="24" t="s">
        <v>143</v>
      </c>
      <c r="B20" s="25" t="s">
        <v>124</v>
      </c>
      <c r="C20" s="24" t="s">
        <v>164</v>
      </c>
      <c r="D20" s="25" t="s">
        <v>165</v>
      </c>
      <c r="E20" s="26" t="n">
        <v>0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4" t="n">
        <f aca="false">MIN(F20:J20)</f>
        <v>1</v>
      </c>
      <c r="L20" s="24" t="n">
        <f aca="false">MAX(F20:J20)</f>
        <v>1</v>
      </c>
      <c r="M20" s="24" t="n">
        <f aca="false">L20-K20</f>
        <v>0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127</v>
      </c>
      <c r="C21" s="24" t="s">
        <v>164</v>
      </c>
      <c r="D21" s="25" t="s">
        <v>165</v>
      </c>
      <c r="E21" s="26" t="n">
        <v>0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4" t="n">
        <f aca="false">MIN(F21:J21)</f>
        <v>1</v>
      </c>
      <c r="L21" s="24" t="n">
        <f aca="false">MAX(F21:J21)</f>
        <v>1</v>
      </c>
      <c r="M21" s="24" t="n">
        <f aca="false">L21-K21</f>
        <v>0</v>
      </c>
      <c r="O21" s="27" t="s">
        <v>89</v>
      </c>
      <c r="P21" s="28" t="n">
        <f aca="false">SUMPRODUCT($E$5:$E$22*(($F$5:$F$22&lt;$F$5:$F$22)*$F$5:$F$22+($F$5:$F$22&gt;=$F$5:$F$22)*$F$5:$F$22))/SUMPRODUCT($E$5:$E$22*(($F$5:$F$22&gt;$F$5:$F$22)*$F$5:$F$22+($F$5:$F$22&lt;=$F$5:$F$22)*$F$5:$F$22))</f>
        <v>1</v>
      </c>
      <c r="Q21" s="28" t="n">
        <f aca="false">SUMPRODUCT($E$5:$E$22*(($F$5:$F$22&lt;$G$5:$G$22)*$F$5:$F$22+($F$5:$F$22&gt;=$G$5:$G$22)*$G$5:$G$22))/SUMPRODUCT($E$5:$E$22*(($F$5:$F$22&gt;$G$5:$G$22)*$F$5:$F$22+($F$5:$F$22&lt;=$G$5:$G$22)*$G$5:$G$22))</f>
        <v>1</v>
      </c>
      <c r="R21" s="28" t="n">
        <f aca="false">SUMPRODUCT($E$5:$E$22*(($F$5:$F$22&lt;$H$5:$H$22)*$F$5:$F$22+($F$5:$F$22&gt;=$H$5:$H$22)*$H$5:$H$22))/SUMPRODUCT($E$5:$E$22*(($F$5:$F$22&gt;$H$5:$H$22)*$F$5:$F$22+($F$5:$F$22&lt;=$H$5:$H$22)*$H$5:$H$22))</f>
        <v>1</v>
      </c>
      <c r="S21" s="28" t="n">
        <f aca="false">SUMPRODUCT($E$5:$E$22*(($F$5:$F$22&lt;$I$5:$I$22)*$F$5:$F$22+($F$5:$F$22&gt;=$I$5:$I$22)*$I$5:$I$22))/SUMPRODUCT($E$5:$E$22*(($F$5:$F$22&gt;$I$5:$I$22)*$F$5:$F$22+($F$5:$F$22&lt;=$I$5:$I$22)*$I$5:$I$22))</f>
        <v>1</v>
      </c>
      <c r="T21" s="28" t="n">
        <f aca="false">SUMPRODUCT($E$5:$E$22*(($F$5:$F$22&lt;$J$5:$J$22)*$F$5:$F$22+($F$5:$F$22&gt;=$J$5:$J$22)*$J$5:$J$22))/SUMPRODUCT($E$5:$E$22*(($F$5:$F$22&gt;$J$5:$J$22)*$F$5:$F$22+($F$5:$F$22&lt;=$J$5:$J$22)*$J$5:$J$22))</f>
        <v>1</v>
      </c>
    </row>
    <row r="22" customFormat="false" ht="15" hidden="false" customHeight="false" outlineLevel="0" collapsed="false">
      <c r="A22" s="24" t="s">
        <v>146</v>
      </c>
      <c r="B22" s="25" t="s">
        <v>136</v>
      </c>
      <c r="C22" s="24" t="s">
        <v>164</v>
      </c>
      <c r="D22" s="25" t="s">
        <v>165</v>
      </c>
      <c r="E22" s="26" t="n">
        <v>0</v>
      </c>
      <c r="F22" s="26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4" t="n">
        <f aca="false">MIN(F22:J22)</f>
        <v>1</v>
      </c>
      <c r="L22" s="24" t="n">
        <f aca="false">MAX(F22:J22)</f>
        <v>1</v>
      </c>
      <c r="M22" s="24" t="n">
        <f aca="false">L22-K22</f>
        <v>0</v>
      </c>
      <c r="O22" s="27" t="s">
        <v>90</v>
      </c>
      <c r="P22" s="28" t="n">
        <f aca="false">SUMPRODUCT($E$5:$E$22*(($G$5:$G$22&lt;$F$5:$F$22)*$G$5:$G$22+($G$5:$G$22&gt;=$F$5:$F$22)*$F$5:$F$22))/SUMPRODUCT($E$5:$E$22*(($G$5:$G$22&gt;$F$5:$F$22)*$G$5:$G$22+($G$5:$G$22&lt;=$F$5:$F$22)*$F$5:$F$22))</f>
        <v>1</v>
      </c>
      <c r="Q22" s="28" t="n">
        <f aca="false">SUMPRODUCT($E$5:$E$22*(($G$5:$G$22&lt;$G$5:$G$22)*$G$5:$G$22+($G$5:$G$22&gt;=$G$5:$G$22)*$G$5:$G$22))/SUMPRODUCT($E$5:$E$22*(($G$5:$G$22&gt;$G$5:$G$22)*$G$5:$G$22+($G$5:$G$22&lt;=$G$5:$G$22)*$G$5:$G$22))</f>
        <v>1</v>
      </c>
      <c r="R22" s="28" t="n">
        <f aca="false">SUMPRODUCT($E$5:$E$22*(($G$5:$G$22&lt;$H$5:$H$22)*$G$5:$G$22+($G$5:$G$22&gt;=$H$5:$H$22)*$H$5:$H$22))/SUMPRODUCT($E$5:$E$22*(($G$5:$G$22&gt;$H$5:$H$22)*$G$5:$G$22+($G$5:$G$22&lt;=$H$5:$H$22)*$H$5:$H$22))</f>
        <v>1</v>
      </c>
      <c r="S22" s="28" t="n">
        <f aca="false">SUMPRODUCT($E$5:$E$22*(($G$5:$G$22&lt;$I$5:$I$22)*$G$5:$G$22+($G$5:$G$22&gt;=$I$5:$I$22)*$I$5:$I$22))/SUMPRODUCT($E$5:$E$22*(($G$5:$G$22&gt;$I$5:$I$22)*$G$5:$G$22+($G$5:$G$22&lt;=$I$5:$I$22)*$I$5:$I$22))</f>
        <v>1</v>
      </c>
      <c r="T22" s="28" t="n">
        <f aca="false">SUMPRODUCT($E$5:$E$22*(($G$5:$G$22&lt;$J$5:$J$22)*$G$5:$G$22+($G$5:$G$22&gt;=$J$5:$J$22)*$J$5:$J$22))/SUMPRODUCT($E$5:$E$22*(($G$5:$G$22&gt;$J$5:$J$22)*$G$5:$G$22+($G$5:$G$22&lt;=$J$5:$J$22)*$J$5:$J$22))</f>
        <v>1</v>
      </c>
    </row>
    <row r="23" customFormat="false" ht="15" hidden="false" customHeight="false" outlineLevel="0" collapsed="false">
      <c r="D23" s="29" t="s">
        <v>178</v>
      </c>
      <c r="F23" s="13" t="n">
        <f aca="false">SUM(F5:F22)</f>
        <v>22</v>
      </c>
      <c r="G23" s="13" t="n">
        <f aca="false">SUM(G5:G22)</f>
        <v>22</v>
      </c>
      <c r="H23" s="13" t="n">
        <f aca="false">SUM(H5:H22)</f>
        <v>22</v>
      </c>
      <c r="I23" s="13" t="n">
        <f aca="false">SUM(I5:I22)</f>
        <v>22</v>
      </c>
      <c r="J23" s="13" t="n">
        <f aca="false">SUM(J5:J22)</f>
        <v>22</v>
      </c>
      <c r="K23" s="13" t="n">
        <f aca="false">SUM(K5:K22)</f>
        <v>22</v>
      </c>
      <c r="L23" s="13" t="n">
        <f aca="false">SUM(L5:L22)</f>
        <v>22</v>
      </c>
      <c r="O23" s="27" t="s">
        <v>91</v>
      </c>
      <c r="P23" s="28" t="n">
        <f aca="false">SUMPRODUCT($E$5:$E$22*(($H$5:$H$22&lt;$F$5:$F$22)*$H$5:$H$22+($H$5:$H$22&gt;=$F$5:$F$22)*$F$5:$F$22))/SUMPRODUCT($E$5:$E$22*(($H$5:$H$22&gt;$F$5:$F$22)*$H$5:$H$22+($H$5:$H$22&lt;=$F$5:$F$22)*$F$5:$F$22))</f>
        <v>1</v>
      </c>
      <c r="Q23" s="28" t="n">
        <f aca="false">SUMPRODUCT($E$5:$E$22*(($H$5:$H$22&lt;$G$5:$G$22)*$H$5:$H$22+($H$5:$H$22&gt;=$G$5:$G$22)*$G$5:$G$22))/SUMPRODUCT($E$5:$E$22*(($H$5:$H$22&gt;$G$5:$G$22)*$H$5:$H$22+($H$5:$H$22&lt;=$G$5:$G$22)*$G$5:$G$22))</f>
        <v>1</v>
      </c>
      <c r="R23" s="28" t="n">
        <f aca="false">SUMPRODUCT($E$5:$E$22*(($H$5:$H$22&lt;$H$5:$H$22)*$H$5:$H$22+($H$5:$H$22&gt;=$H$5:$H$22)*$H$5:$H$22))/SUMPRODUCT($E$5:$E$22*(($H$5:$H$22&gt;$H$5:$H$22)*$H$5:$H$22+($H$5:$H$22&lt;=$H$5:$H$22)*$H$5:$H$22))</f>
        <v>1</v>
      </c>
      <c r="S23" s="28" t="n">
        <f aca="false">SUMPRODUCT($E$5:$E$22*(($H$5:$H$22&lt;$I$5:$I$22)*$H$5:$H$22+($H$5:$H$22&gt;=$I$5:$I$22)*$I$5:$I$22))/SUMPRODUCT($E$5:$E$22*(($H$5:$H$22&gt;$I$5:$I$22)*$H$5:$H$22+($H$5:$H$22&lt;=$I$5:$I$22)*$I$5:$I$22))</f>
        <v>1</v>
      </c>
      <c r="T23" s="28" t="n">
        <f aca="false">SUMPRODUCT($E$5:$E$22*(($H$5:$H$22&lt;$J$5:$J$22)*$H$5:$H$22+($H$5:$H$22&gt;=$J$5:$J$22)*$J$5:$J$22))/SUMPRODUCT($E$5:$E$22*(($H$5:$H$22&gt;$J$5:$J$22)*$H$5:$H$22+($H$5:$H$22&lt;=$J$5:$J$22)*$J$5:$J$22))</f>
        <v>1</v>
      </c>
    </row>
    <row r="24" customFormat="false" ht="15" hidden="false" customHeight="false" outlineLevel="0" collapsed="false">
      <c r="D24" s="29" t="s">
        <v>180</v>
      </c>
      <c r="F24" s="13" t="n">
        <f aca="false">SUMPRODUCT($E$5:$E$22,F5:F22)</f>
        <v>12</v>
      </c>
      <c r="G24" s="13" t="n">
        <f aca="false">SUMPRODUCT($E$5:$E$22,G5:G22)</f>
        <v>12</v>
      </c>
      <c r="H24" s="13" t="n">
        <f aca="false">SUMPRODUCT($E$5:$E$22,H5:H22)</f>
        <v>12</v>
      </c>
      <c r="I24" s="13" t="n">
        <f aca="false">SUMPRODUCT($E$5:$E$22,I5:I22)</f>
        <v>12</v>
      </c>
      <c r="J24" s="13" t="n">
        <f aca="false">SUMPRODUCT($E$5:$E$22,J5:J22)</f>
        <v>12</v>
      </c>
      <c r="K24" s="13" t="n">
        <f aca="false">SUMPRODUCT($E$5:$E$22,K5:K22)</f>
        <v>12</v>
      </c>
      <c r="L24" s="13" t="n">
        <f aca="false">SUMPRODUCT($E$5:$E$22,L5:L22)</f>
        <v>12</v>
      </c>
      <c r="O24" s="27" t="s">
        <v>92</v>
      </c>
      <c r="P24" s="28" t="n">
        <f aca="false">SUMPRODUCT($E$5:$E$22*(($I$5:$I$22&lt;$F$5:$F$22)*$I$5:$I$22+($I$5:$I$22&gt;=$F$5:$F$22)*$F$5:$F$22))/SUMPRODUCT($E$5:$E$22*(($I$5:$I$22&gt;$F$5:$F$22)*$I$5:$I$22+($I$5:$I$22&lt;=$F$5:$F$22)*$F$5:$F$22))</f>
        <v>1</v>
      </c>
      <c r="Q24" s="28" t="n">
        <f aca="false">SUMPRODUCT($E$5:$E$22*(($I$5:$I$22&lt;$G$5:$G$22)*$I$5:$I$22+($I$5:$I$22&gt;=$G$5:$G$22)*$G$5:$G$22))/SUMPRODUCT($E$5:$E$22*(($I$5:$I$22&gt;$G$5:$G$22)*$I$5:$I$22+($I$5:$I$22&lt;=$G$5:$G$22)*$G$5:$G$22))</f>
        <v>1</v>
      </c>
      <c r="R24" s="28" t="n">
        <f aca="false">SUMPRODUCT($E$5:$E$22*(($I$5:$I$22&lt;$H$5:$H$22)*$I$5:$I$22+($I$5:$I$22&gt;=$H$5:$H$22)*$H$5:$H$22))/SUMPRODUCT($E$5:$E$22*(($I$5:$I$22&gt;$H$5:$H$22)*$I$5:$I$22+($I$5:$I$22&lt;=$H$5:$H$22)*$H$5:$H$22))</f>
        <v>1</v>
      </c>
      <c r="S24" s="28" t="n">
        <f aca="false">SUMPRODUCT($E$5:$E$22*(($I$5:$I$22&lt;$I$5:$I$22)*$I$5:$I$22+($I$5:$I$22&gt;=$I$5:$I$22)*$I$5:$I$22))/SUMPRODUCT($E$5:$E$22*(($I$5:$I$22&gt;$I$5:$I$22)*$I$5:$I$22+($I$5:$I$22&lt;=$I$5:$I$22)*$I$5:$I$22))</f>
        <v>1</v>
      </c>
      <c r="T24" s="28" t="n">
        <f aca="false">SUMPRODUCT($E$5:$E$22*(($I$5:$I$22&lt;$J$5:$J$22)*$I$5:$I$22+($I$5:$I$22&gt;=$J$5:$J$22)*$J$5:$J$22))/SUMPRODUCT($E$5:$E$22*(($I$5:$I$22&gt;$J$5:$J$22)*$I$5:$I$22+($I$5:$I$22&lt;=$J$5:$J$22)*$J$5:$J$22))</f>
        <v>1</v>
      </c>
    </row>
    <row r="25" customFormat="false" ht="15" hidden="false" customHeight="false" outlineLevel="0" collapsed="false">
      <c r="D25" s="29" t="s">
        <v>182</v>
      </c>
      <c r="F25" s="13" t="n">
        <f aca="false">COUNTIF(F5:F22,"&gt;0")</f>
        <v>18</v>
      </c>
      <c r="G25" s="13" t="n">
        <f aca="false">COUNTIF(G5:G22,"&gt;0")</f>
        <v>18</v>
      </c>
      <c r="H25" s="13" t="n">
        <f aca="false">COUNTIF(H5:H22,"&gt;0")</f>
        <v>18</v>
      </c>
      <c r="I25" s="13" t="n">
        <f aca="false">COUNTIF(I5:I22,"&gt;0")</f>
        <v>18</v>
      </c>
      <c r="J25" s="13" t="n">
        <f aca="false">COUNTIF(J5:J22,"&gt;0")</f>
        <v>18</v>
      </c>
      <c r="O25" s="27" t="s">
        <v>93</v>
      </c>
      <c r="P25" s="28" t="n">
        <f aca="false">SUMPRODUCT($E$5:$E$22*(($J$5:$J$22&lt;$F$5:$F$22)*$J$5:$J$22+($J$5:$J$22&gt;=$F$5:$F$22)*$F$5:$F$22))/SUMPRODUCT($E$5:$E$22*(($J$5:$J$22&gt;$F$5:$F$22)*$J$5:$J$22+($J$5:$J$22&lt;=$F$5:$F$22)*$F$5:$F$22))</f>
        <v>1</v>
      </c>
      <c r="Q25" s="28" t="n">
        <f aca="false">SUMPRODUCT($E$5:$E$22*(($J$5:$J$22&lt;$G$5:$G$22)*$J$5:$J$22+($J$5:$J$22&gt;=$G$5:$G$22)*$G$5:$G$22))/SUMPRODUCT($E$5:$E$22*(($J$5:$J$22&gt;$G$5:$G$22)*$J$5:$J$22+($J$5:$J$22&lt;=$G$5:$G$22)*$G$5:$G$22))</f>
        <v>1</v>
      </c>
      <c r="R25" s="28" t="n">
        <f aca="false">SUMPRODUCT($E$5:$E$22*(($J$5:$J$22&lt;$H$5:$H$22)*$J$5:$J$22+($J$5:$J$22&gt;=$H$5:$H$22)*$H$5:$H$22))/SUMPRODUCT($E$5:$E$22*(($J$5:$J$22&gt;$H$5:$H$22)*$J$5:$J$22+($J$5:$J$22&lt;=$H$5:$H$22)*$H$5:$H$22))</f>
        <v>1</v>
      </c>
      <c r="S25" s="28" t="n">
        <f aca="false">SUMPRODUCT($E$5:$E$22*(($J$5:$J$22&lt;$I$5:$I$22)*$J$5:$J$22+($J$5:$J$22&gt;=$I$5:$I$22)*$I$5:$I$22))/SUMPRODUCT($E$5:$E$22*(($J$5:$J$22&gt;$I$5:$I$22)*$J$5:$J$22+($J$5:$J$22&lt;=$I$5:$I$22)*$I$5:$I$22))</f>
        <v>1</v>
      </c>
      <c r="T25" s="28" t="n">
        <f aca="false">SUMPRODUCT($E$5:$E$22*(($J$5:$J$22&lt;$J$5:$J$22)*$J$5:$J$22+($J$5:$J$22&gt;=$J$5:$J$22)*$J$5:$J$22))/SUMPRODUCT($E$5:$E$22*(($J$5:$J$22&gt;$J$5:$J$22)*$J$5:$J$22+($J$5:$J$22&lt;=$J$5:$J$22)*$J$5:$J$22))</f>
        <v>1</v>
      </c>
    </row>
    <row r="26" customFormat="false" ht="15" hidden="false" customHeight="false" outlineLevel="0" collapsed="false">
      <c r="D26" s="29" t="s">
        <v>184</v>
      </c>
      <c r="F26" s="13" t="n">
        <f aca="false">COUNTIFS(F5:F22,"&gt;0",$E$5:$E$22,1)</f>
        <v>8</v>
      </c>
      <c r="G26" s="13" t="n">
        <f aca="false">COUNTIFS(G5:G22,"&gt;0",$E$5:$E$22,1)</f>
        <v>8</v>
      </c>
      <c r="H26" s="13" t="n">
        <f aca="false">COUNTIFS(H5:H22,"&gt;0",$E$5:$E$22,1)</f>
        <v>8</v>
      </c>
      <c r="I26" s="13" t="n">
        <f aca="false">COUNTIFS(I5:I22,"&gt;0",$E$5:$E$22,1)</f>
        <v>8</v>
      </c>
      <c r="J26" s="13" t="n">
        <f aca="false">COUNTIFS(J5:J22,"&gt;0",$E$5:$E$22,1)</f>
        <v>8</v>
      </c>
    </row>
    <row r="27" customFormat="false" ht="15" hidden="false" customHeight="false" outlineLevel="0" collapsed="false"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O30" s="22" t="s">
        <v>74</v>
      </c>
      <c r="P30" s="12" t="n">
        <f aca="false">S13</f>
        <v>1</v>
      </c>
      <c r="Q30" s="12" t="n">
        <f aca="false">S21</f>
        <v>1</v>
      </c>
    </row>
    <row r="31" customFormat="false" ht="15" hidden="false" customHeight="false" outlineLevel="0" collapsed="false">
      <c r="O31" s="22" t="s">
        <v>75</v>
      </c>
      <c r="P31" s="12" t="n">
        <f aca="false">T13</f>
        <v>1</v>
      </c>
      <c r="Q31" s="12" t="n">
        <f aca="false">T21</f>
        <v>1</v>
      </c>
    </row>
    <row r="32" customFormat="false" ht="15" hidden="false" customHeight="false" outlineLevel="0" collapsed="false"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O33" s="22" t="s">
        <v>77</v>
      </c>
      <c r="P33" s="12" t="n">
        <f aca="false">S14</f>
        <v>1</v>
      </c>
      <c r="Q33" s="12" t="n">
        <f aca="false">S22</f>
        <v>1</v>
      </c>
    </row>
    <row r="34" customFormat="false" ht="15" hidden="false" customHeight="false" outlineLevel="0" collapsed="false">
      <c r="O34" s="22" t="s">
        <v>78</v>
      </c>
      <c r="P34" s="12" t="n">
        <f aca="false">T14</f>
        <v>1</v>
      </c>
      <c r="Q34" s="12" t="n">
        <f aca="false">T22</f>
        <v>1</v>
      </c>
    </row>
    <row r="35" customFormat="false" ht="15" hidden="false" customHeight="false" outlineLevel="0" collapsed="false">
      <c r="O35" s="22" t="s">
        <v>79</v>
      </c>
      <c r="P35" s="12" t="n">
        <f aca="false">S15</f>
        <v>1</v>
      </c>
      <c r="Q35" s="12" t="n">
        <f aca="false">S23</f>
        <v>1</v>
      </c>
    </row>
    <row r="36" customFormat="false" ht="15" hidden="false" customHeight="false" outlineLevel="0" collapsed="false">
      <c r="O36" s="22" t="s">
        <v>80</v>
      </c>
      <c r="P36" s="12" t="n">
        <f aca="false">T15</f>
        <v>1</v>
      </c>
      <c r="Q36" s="12" t="n">
        <f aca="false">T23</f>
        <v>1</v>
      </c>
    </row>
    <row r="37" customFormat="false" ht="15" hidden="false" customHeight="false" outlineLevel="0" collapsed="false">
      <c r="O37" s="22" t="s">
        <v>81</v>
      </c>
      <c r="P37" s="12" t="n">
        <f aca="false">T16</f>
        <v>1</v>
      </c>
      <c r="Q37" s="12" t="n">
        <f aca="false">T24</f>
        <v>1</v>
      </c>
    </row>
    <row r="39" customFormat="false" ht="15" hidden="false" customHeight="false" outlineLevel="0" collapsed="false"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O40" s="8" t="s">
        <v>175</v>
      </c>
      <c r="P40" s="12" t="n">
        <f aca="false">AVERAGE(P28:P37)</f>
        <v>1</v>
      </c>
      <c r="Q40" s="12" t="n">
        <f aca="false">AVERAGE(Q28:Q37)</f>
        <v>1</v>
      </c>
    </row>
    <row r="41" customFormat="false" ht="15" hidden="false" customHeight="false" outlineLevel="0" collapsed="false">
      <c r="O41" s="8" t="s">
        <v>177</v>
      </c>
      <c r="P41" s="12" t="n">
        <f aca="false">STDEV(P28:P37)</f>
        <v>0</v>
      </c>
      <c r="Q41" s="12" t="n">
        <f aca="false">STDEV(Q28:Q37)</f>
        <v>0</v>
      </c>
    </row>
    <row r="42" customFormat="false" ht="15" hidden="false" customHeight="false" outlineLevel="0" collapsed="false">
      <c r="O42" s="8" t="s">
        <v>179</v>
      </c>
      <c r="P42" s="12" t="n">
        <f aca="false">MIN(P28:P37)</f>
        <v>1</v>
      </c>
      <c r="Q42" s="12" t="n">
        <f aca="false">MIN(Q28:Q37)</f>
        <v>1</v>
      </c>
    </row>
    <row r="43" customFormat="false" ht="15" hidden="false" customHeight="false" outlineLevel="0" collapsed="false"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O44" s="8" t="s">
        <v>183</v>
      </c>
      <c r="P44" s="12" t="n">
        <f aca="false">K23/L23</f>
        <v>1</v>
      </c>
      <c r="Q44" s="12" t="n">
        <f aca="false">K24/L24</f>
        <v>1</v>
      </c>
    </row>
    <row r="45" customFormat="false" ht="15" hidden="false" customHeight="false" outlineLevel="0" collapsed="false">
      <c r="O45" s="8" t="s">
        <v>185</v>
      </c>
      <c r="P45" s="30" t="n">
        <f aca="false">AVERAGE(F25:J25)</f>
        <v>18</v>
      </c>
      <c r="Q45" s="30" t="n">
        <f aca="false">AVERAGE(F26:J26)</f>
        <v>8</v>
      </c>
    </row>
    <row r="46" customFormat="false" ht="15" hidden="false" customHeight="false" outlineLevel="0" collapsed="false">
      <c r="O46" s="8" t="s">
        <v>186</v>
      </c>
      <c r="P46" s="30" t="n">
        <f aca="false">AVERAGE(F23:J23)</f>
        <v>22</v>
      </c>
      <c r="Q46" s="30" t="n">
        <f aca="false">AVERAGE(F24:J24)</f>
        <v>12</v>
      </c>
    </row>
  </sheetData>
  <conditionalFormatting sqref="A5:M22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10" min="6" style="0" width="6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20" min="18" style="0" width="9"/>
  </cols>
  <sheetData>
    <row r="1" customFormat="false" ht="17.35" hidden="false" customHeight="false" outlineLevel="0" collapsed="false">
      <c r="A1" s="5" t="s">
        <v>233</v>
      </c>
    </row>
    <row r="2" customFormat="false" ht="15" hidden="false" customHeight="false" outlineLevel="0" collapsed="false">
      <c r="A2" s="6" t="s">
        <v>83</v>
      </c>
    </row>
    <row r="4" customFormat="false" ht="30" hidden="false" customHeight="true" outlineLevel="0" collapsed="false">
      <c r="A4" s="7" t="s">
        <v>84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O4" s="7" t="s">
        <v>97</v>
      </c>
      <c r="P4" s="7" t="s">
        <v>98</v>
      </c>
    </row>
    <row r="5" customFormat="false" ht="35.05" hidden="false" customHeight="false" outlineLevel="0" collapsed="false">
      <c r="A5" s="24" t="s">
        <v>99</v>
      </c>
      <c r="B5" s="25" t="s">
        <v>194</v>
      </c>
      <c r="C5" s="24" t="s">
        <v>101</v>
      </c>
      <c r="D5" s="25" t="s">
        <v>102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4" t="n">
        <f aca="false">MIN(F5:J5)</f>
        <v>1</v>
      </c>
      <c r="L5" s="24" t="n">
        <f aca="false">MAX(F5:J5)</f>
        <v>1</v>
      </c>
      <c r="M5" s="24" t="n">
        <f aca="false">L5-K5</f>
        <v>0</v>
      </c>
      <c r="O5" s="8" t="s">
        <v>89</v>
      </c>
      <c r="P5" s="22" t="s">
        <v>234</v>
      </c>
    </row>
    <row r="6" customFormat="false" ht="35.05" hidden="false" customHeight="false" outlineLevel="0" collapsed="false">
      <c r="A6" s="24" t="s">
        <v>104</v>
      </c>
      <c r="B6" s="25" t="s">
        <v>194</v>
      </c>
      <c r="C6" s="24" t="s">
        <v>101</v>
      </c>
      <c r="D6" s="25" t="s">
        <v>196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4" t="n">
        <f aca="false">MIN(F6:J6)</f>
        <v>1</v>
      </c>
      <c r="L6" s="24" t="n">
        <f aca="false">MAX(F6:J6)</f>
        <v>1</v>
      </c>
      <c r="M6" s="24" t="n">
        <f aca="false">L6-K6</f>
        <v>0</v>
      </c>
      <c r="O6" s="8" t="s">
        <v>90</v>
      </c>
      <c r="P6" s="22" t="s">
        <v>235</v>
      </c>
    </row>
    <row r="7" customFormat="false" ht="35.05" hidden="false" customHeight="false" outlineLevel="0" collapsed="false">
      <c r="A7" s="24" t="s">
        <v>108</v>
      </c>
      <c r="B7" s="25" t="s">
        <v>194</v>
      </c>
      <c r="C7" s="24" t="s">
        <v>101</v>
      </c>
      <c r="D7" s="25" t="s">
        <v>198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4" t="n">
        <f aca="false">MIN(F7:J7)</f>
        <v>1</v>
      </c>
      <c r="L7" s="24" t="n">
        <f aca="false">MAX(F7:J7)</f>
        <v>1</v>
      </c>
      <c r="M7" s="24" t="n">
        <f aca="false">L7-K7</f>
        <v>0</v>
      </c>
      <c r="O7" s="8" t="s">
        <v>91</v>
      </c>
      <c r="P7" s="22" t="s">
        <v>236</v>
      </c>
    </row>
    <row r="8" customFormat="false" ht="35.05" hidden="false" customHeight="false" outlineLevel="0" collapsed="false">
      <c r="A8" s="24" t="s">
        <v>112</v>
      </c>
      <c r="B8" s="25" t="s">
        <v>194</v>
      </c>
      <c r="C8" s="24" t="s">
        <v>101</v>
      </c>
      <c r="D8" s="25" t="s">
        <v>200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4" t="n">
        <f aca="false">MIN(F8:J8)</f>
        <v>1</v>
      </c>
      <c r="L8" s="24" t="n">
        <f aca="false">MAX(F8:J8)</f>
        <v>1</v>
      </c>
      <c r="M8" s="24" t="n">
        <f aca="false">L8-K8</f>
        <v>0</v>
      </c>
      <c r="O8" s="8" t="s">
        <v>92</v>
      </c>
      <c r="P8" s="22" t="s">
        <v>237</v>
      </c>
    </row>
    <row r="9" customFormat="false" ht="15" hidden="false" customHeight="false" outlineLevel="0" collapsed="false">
      <c r="A9" s="24" t="s">
        <v>115</v>
      </c>
      <c r="B9" s="25" t="s">
        <v>238</v>
      </c>
      <c r="C9" s="24" t="s">
        <v>101</v>
      </c>
      <c r="D9" s="25" t="s">
        <v>239</v>
      </c>
      <c r="E9" s="26" t="n">
        <v>1</v>
      </c>
      <c r="F9" s="26" t="n">
        <v>2</v>
      </c>
      <c r="G9" s="26" t="n">
        <v>2</v>
      </c>
      <c r="H9" s="26" t="n">
        <v>2</v>
      </c>
      <c r="I9" s="26" t="n">
        <v>2</v>
      </c>
      <c r="J9" s="26" t="n">
        <v>2</v>
      </c>
      <c r="K9" s="24" t="n">
        <f aca="false">MIN(F9:J9)</f>
        <v>2</v>
      </c>
      <c r="L9" s="24" t="n">
        <f aca="false">MAX(F9:J9)</f>
        <v>2</v>
      </c>
      <c r="M9" s="24" t="n">
        <f aca="false">L9-K9</f>
        <v>0</v>
      </c>
      <c r="O9" s="8" t="s">
        <v>93</v>
      </c>
      <c r="P9" s="22" t="s">
        <v>240</v>
      </c>
    </row>
    <row r="10" customFormat="false" ht="15" hidden="false" customHeight="false" outlineLevel="0" collapsed="false">
      <c r="A10" s="24" t="s">
        <v>119</v>
      </c>
      <c r="B10" s="25" t="s">
        <v>109</v>
      </c>
      <c r="C10" s="24" t="s">
        <v>101</v>
      </c>
      <c r="D10" s="25" t="s">
        <v>113</v>
      </c>
      <c r="E10" s="26" t="n">
        <v>1</v>
      </c>
      <c r="F10" s="26" t="n">
        <v>1</v>
      </c>
      <c r="G10" s="26" t="n">
        <v>1</v>
      </c>
      <c r="H10" s="26" t="n">
        <v>1</v>
      </c>
      <c r="I10" s="26" t="n">
        <v>1</v>
      </c>
      <c r="J10" s="26" t="n">
        <v>1</v>
      </c>
      <c r="K10" s="24" t="n">
        <f aca="false">MIN(F10:J10)</f>
        <v>1</v>
      </c>
      <c r="L10" s="24" t="n">
        <f aca="false">MAX(F10:J10)</f>
        <v>1</v>
      </c>
      <c r="M10" s="24" t="n">
        <f aca="false">L10-K10</f>
        <v>0</v>
      </c>
    </row>
    <row r="11" customFormat="false" ht="15" hidden="false" customHeight="false" outlineLevel="0" collapsed="false">
      <c r="A11" s="24" t="s">
        <v>122</v>
      </c>
      <c r="B11" s="25" t="s">
        <v>207</v>
      </c>
      <c r="C11" s="24" t="s">
        <v>101</v>
      </c>
      <c r="D11" s="25" t="s">
        <v>208</v>
      </c>
      <c r="E11" s="26" t="n">
        <v>1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2</v>
      </c>
      <c r="K11" s="24" t="n">
        <f aca="false">MIN(F11:J11)</f>
        <v>2</v>
      </c>
      <c r="L11" s="24" t="n">
        <f aca="false">MAX(F11:J11)</f>
        <v>3</v>
      </c>
      <c r="M11" s="24" t="n">
        <f aca="false">L11-K11</f>
        <v>1</v>
      </c>
      <c r="O11" s="17" t="s">
        <v>125</v>
      </c>
    </row>
    <row r="12" customFormat="false" ht="15" hidden="false" customHeight="false" outlineLevel="0" collapsed="false">
      <c r="A12" s="24" t="s">
        <v>126</v>
      </c>
      <c r="B12" s="25" t="s">
        <v>225</v>
      </c>
      <c r="C12" s="24" t="s">
        <v>101</v>
      </c>
      <c r="D12" s="25" t="s">
        <v>226</v>
      </c>
      <c r="E12" s="26" t="n">
        <v>1</v>
      </c>
      <c r="F12" s="26" t="n">
        <v>3</v>
      </c>
      <c r="G12" s="26" t="n">
        <v>3</v>
      </c>
      <c r="H12" s="26" t="n">
        <v>3</v>
      </c>
      <c r="I12" s="26" t="n">
        <v>3</v>
      </c>
      <c r="J12" s="26" t="n">
        <v>2</v>
      </c>
      <c r="K12" s="24" t="n">
        <f aca="false">MIN(F12:J12)</f>
        <v>2</v>
      </c>
      <c r="L12" s="24" t="n">
        <f aca="false">MAX(F12:J12)</f>
        <v>3</v>
      </c>
      <c r="M12" s="24" t="n">
        <f aca="false">L12-K12</f>
        <v>1</v>
      </c>
      <c r="P12" s="7" t="s">
        <v>89</v>
      </c>
      <c r="Q12" s="7" t="s">
        <v>90</v>
      </c>
      <c r="R12" s="7" t="s">
        <v>91</v>
      </c>
      <c r="S12" s="7" t="s">
        <v>92</v>
      </c>
      <c r="T12" s="7" t="s">
        <v>93</v>
      </c>
    </row>
    <row r="13" customFormat="false" ht="15" hidden="false" customHeight="false" outlineLevel="0" collapsed="false">
      <c r="A13" s="24" t="s">
        <v>128</v>
      </c>
      <c r="B13" s="25" t="s">
        <v>116</v>
      </c>
      <c r="C13" s="24" t="s">
        <v>101</v>
      </c>
      <c r="D13" s="25" t="s">
        <v>117</v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4" t="n">
        <f aca="false">MIN(F13:J13)</f>
        <v>1</v>
      </c>
      <c r="L13" s="24" t="n">
        <f aca="false">MAX(F13:J13)</f>
        <v>1</v>
      </c>
      <c r="M13" s="24" t="n">
        <f aca="false">L13-K13</f>
        <v>0</v>
      </c>
      <c r="O13" s="27" t="s">
        <v>89</v>
      </c>
      <c r="P13" s="28" t="n">
        <f aca="false">SUMPRODUCT((($F$5:$F$40&lt;$F$5:$F$40)*$F$5:$F$40+($F$5:$F$40&gt;=$F$5:$F$40)*$F$5:$F$40))/SUMPRODUCT((($F$5:$F$40&gt;$F$5:$F$40)*$F$5:$F$40+($F$5:$F$40&lt;=$F$5:$F$40)*$F$5:$F$40))</f>
        <v>1</v>
      </c>
      <c r="Q13" s="28" t="n">
        <f aca="false">SUMPRODUCT((($F$5:$F$40&lt;$G$5:$G$40)*$F$5:$F$40+($F$5:$F$40&gt;=$G$5:$G$40)*$G$5:$G$40))/SUMPRODUCT((($F$5:$F$40&gt;$G$5:$G$40)*$F$5:$F$40+($F$5:$F$40&lt;=$G$5:$G$40)*$G$5:$G$40))</f>
        <v>1</v>
      </c>
      <c r="R13" s="28" t="n">
        <f aca="false">SUMPRODUCT((($F$5:$F$40&lt;$H$5:$H$40)*$F$5:$F$40+($F$5:$F$40&gt;=$H$5:$H$40)*$H$5:$H$40))/SUMPRODUCT((($F$5:$F$40&gt;$H$5:$H$40)*$F$5:$F$40+($F$5:$F$40&lt;=$H$5:$H$40)*$H$5:$H$40))</f>
        <v>1</v>
      </c>
      <c r="S13" s="28" t="n">
        <f aca="false">SUMPRODUCT((($F$5:$F$40&lt;$I$5:$I$40)*$F$5:$F$40+($F$5:$F$40&gt;=$I$5:$I$40)*$I$5:$I$40))/SUMPRODUCT((($F$5:$F$40&gt;$I$5:$I$40)*$F$5:$F$40+($F$5:$F$40&lt;=$I$5:$I$40)*$I$5:$I$40))</f>
        <v>1</v>
      </c>
      <c r="T13" s="28" t="n">
        <f aca="false">SUMPRODUCT((($F$5:$F$40&lt;$J$5:$J$40)*$F$5:$F$40+($F$5:$F$40&gt;=$J$5:$J$40)*$J$5:$J$40))/SUMPRODUCT((($F$5:$F$40&gt;$J$5:$J$40)*$F$5:$F$40+($F$5:$F$40&lt;=$J$5:$J$40)*$J$5:$J$40))</f>
        <v>0.91304347826087</v>
      </c>
    </row>
    <row r="14" customFormat="false" ht="15" hidden="false" customHeight="false" outlineLevel="0" collapsed="false">
      <c r="A14" s="24" t="s">
        <v>130</v>
      </c>
      <c r="B14" s="25" t="s">
        <v>120</v>
      </c>
      <c r="C14" s="24" t="s">
        <v>101</v>
      </c>
      <c r="D14" s="25" t="s">
        <v>121</v>
      </c>
      <c r="E14" s="26" t="n">
        <v>1</v>
      </c>
      <c r="F14" s="26" t="n">
        <v>1</v>
      </c>
      <c r="G14" s="26" t="n">
        <v>1</v>
      </c>
      <c r="H14" s="26" t="n">
        <v>1</v>
      </c>
      <c r="I14" s="26" t="n">
        <v>1</v>
      </c>
      <c r="J14" s="26" t="n">
        <v>1</v>
      </c>
      <c r="K14" s="24" t="n">
        <f aca="false">MIN(F14:J14)</f>
        <v>1</v>
      </c>
      <c r="L14" s="24" t="n">
        <f aca="false">MAX(F14:J14)</f>
        <v>1</v>
      </c>
      <c r="M14" s="24" t="n">
        <f aca="false">L14-K14</f>
        <v>0</v>
      </c>
      <c r="O14" s="27" t="s">
        <v>90</v>
      </c>
      <c r="P14" s="28" t="n">
        <f aca="false">SUMPRODUCT((($G$5:$G$40&lt;$F$5:$F$40)*$G$5:$G$40+($G$5:$G$40&gt;=$F$5:$F$40)*$F$5:$F$40))/SUMPRODUCT((($G$5:$G$40&gt;$F$5:$F$40)*$G$5:$G$40+($G$5:$G$40&lt;=$F$5:$F$40)*$F$5:$F$40))</f>
        <v>1</v>
      </c>
      <c r="Q14" s="28" t="n">
        <f aca="false">SUMPRODUCT((($G$5:$G$40&lt;$G$5:$G$40)*$G$5:$G$40+($G$5:$G$40&gt;=$G$5:$G$40)*$G$5:$G$40))/SUMPRODUCT((($G$5:$G$40&gt;$G$5:$G$40)*$G$5:$G$40+($G$5:$G$40&lt;=$G$5:$G$40)*$G$5:$G$40))</f>
        <v>1</v>
      </c>
      <c r="R14" s="28" t="n">
        <f aca="false">SUMPRODUCT((($G$5:$G$40&lt;$H$5:$H$40)*$G$5:$G$40+($G$5:$G$40&gt;=$H$5:$H$40)*$H$5:$H$40))/SUMPRODUCT((($G$5:$G$40&gt;$H$5:$H$40)*$G$5:$G$40+($G$5:$G$40&lt;=$H$5:$H$40)*$H$5:$H$40))</f>
        <v>1</v>
      </c>
      <c r="S14" s="28" t="n">
        <f aca="false">SUMPRODUCT((($G$5:$G$40&lt;$I$5:$I$40)*$G$5:$G$40+($G$5:$G$40&gt;=$I$5:$I$40)*$I$5:$I$40))/SUMPRODUCT((($G$5:$G$40&gt;$I$5:$I$40)*$G$5:$G$40+($G$5:$G$40&lt;=$I$5:$I$40)*$I$5:$I$40))</f>
        <v>1</v>
      </c>
      <c r="T14" s="28" t="n">
        <f aca="false">SUMPRODUCT((($G$5:$G$40&lt;$J$5:$J$40)*$G$5:$G$40+($G$5:$G$40&gt;=$J$5:$J$40)*$J$5:$J$40))/SUMPRODUCT((($G$5:$G$40&gt;$J$5:$J$40)*$G$5:$G$40+($G$5:$G$40&lt;=$J$5:$J$40)*$J$5:$J$40))</f>
        <v>0.91304347826087</v>
      </c>
    </row>
    <row r="15" customFormat="false" ht="35.05" hidden="false" customHeight="false" outlineLevel="0" collapsed="false">
      <c r="A15" s="24" t="s">
        <v>132</v>
      </c>
      <c r="B15" s="25" t="s">
        <v>194</v>
      </c>
      <c r="C15" s="24" t="s">
        <v>241</v>
      </c>
      <c r="D15" s="25" t="s">
        <v>238</v>
      </c>
      <c r="E15" s="26" t="n">
        <v>1</v>
      </c>
      <c r="F15" s="26" t="n">
        <v>2</v>
      </c>
      <c r="G15" s="26" t="n">
        <v>2</v>
      </c>
      <c r="H15" s="26" t="n">
        <v>2</v>
      </c>
      <c r="I15" s="26" t="n">
        <v>2</v>
      </c>
      <c r="J15" s="26" t="n">
        <v>2</v>
      </c>
      <c r="K15" s="24" t="n">
        <f aca="false">MIN(F15:J15)</f>
        <v>2</v>
      </c>
      <c r="L15" s="24" t="n">
        <f aca="false">MAX(F15:J15)</f>
        <v>2</v>
      </c>
      <c r="M15" s="24" t="n">
        <f aca="false">L15-K15</f>
        <v>0</v>
      </c>
      <c r="O15" s="27" t="s">
        <v>91</v>
      </c>
      <c r="P15" s="28" t="n">
        <f aca="false">SUMPRODUCT((($H$5:$H$40&lt;$F$5:$F$40)*$H$5:$H$40+($H$5:$H$40&gt;=$F$5:$F$40)*$F$5:$F$40))/SUMPRODUCT((($H$5:$H$40&gt;$F$5:$F$40)*$H$5:$H$40+($H$5:$H$40&lt;=$F$5:$F$40)*$F$5:$F$40))</f>
        <v>1</v>
      </c>
      <c r="Q15" s="28" t="n">
        <f aca="false">SUMPRODUCT((($H$5:$H$40&lt;$G$5:$G$40)*$H$5:$H$40+($H$5:$H$40&gt;=$G$5:$G$40)*$G$5:$G$40))/SUMPRODUCT((($H$5:$H$40&gt;$G$5:$G$40)*$H$5:$H$40+($H$5:$H$40&lt;=$G$5:$G$40)*$G$5:$G$40))</f>
        <v>1</v>
      </c>
      <c r="R15" s="28" t="n">
        <f aca="false">SUMPRODUCT((($H$5:$H$40&lt;$H$5:$H$40)*$H$5:$H$40+($H$5:$H$40&gt;=$H$5:$H$40)*$H$5:$H$40))/SUMPRODUCT((($H$5:$H$40&gt;$H$5:$H$40)*$H$5:$H$40+($H$5:$H$40&lt;=$H$5:$H$40)*$H$5:$H$40))</f>
        <v>1</v>
      </c>
      <c r="S15" s="28" t="n">
        <f aca="false">SUMPRODUCT((($H$5:$H$40&lt;$I$5:$I$40)*$H$5:$H$40+($H$5:$H$40&gt;=$I$5:$I$40)*$I$5:$I$40))/SUMPRODUCT((($H$5:$H$40&gt;$I$5:$I$40)*$H$5:$H$40+($H$5:$H$40&lt;=$I$5:$I$40)*$I$5:$I$40))</f>
        <v>1</v>
      </c>
      <c r="T15" s="28" t="n">
        <f aca="false">SUMPRODUCT((($H$5:$H$40&lt;$J$5:$J$40)*$H$5:$H$40+($H$5:$H$40&gt;=$J$5:$J$40)*$J$5:$J$40))/SUMPRODUCT((($H$5:$H$40&gt;$J$5:$J$40)*$H$5:$H$40+($H$5:$H$40&lt;=$J$5:$J$40)*$J$5:$J$40))</f>
        <v>0.91304347826087</v>
      </c>
    </row>
    <row r="16" customFormat="false" ht="15" hidden="false" customHeight="false" outlineLevel="0" collapsed="false">
      <c r="A16" s="24" t="s">
        <v>135</v>
      </c>
      <c r="B16" s="25" t="s">
        <v>109</v>
      </c>
      <c r="C16" s="24" t="s">
        <v>209</v>
      </c>
      <c r="D16" s="25" t="s">
        <v>207</v>
      </c>
      <c r="E16" s="26" t="n">
        <v>1</v>
      </c>
      <c r="F16" s="26" t="n">
        <v>3</v>
      </c>
      <c r="G16" s="26" t="n">
        <v>3</v>
      </c>
      <c r="H16" s="26" t="n">
        <v>3</v>
      </c>
      <c r="I16" s="26" t="n">
        <v>3</v>
      </c>
      <c r="J16" s="26" t="n">
        <v>2</v>
      </c>
      <c r="K16" s="24" t="n">
        <f aca="false">MIN(F16:J16)</f>
        <v>2</v>
      </c>
      <c r="L16" s="24" t="n">
        <f aca="false">MAX(F16:J16)</f>
        <v>3</v>
      </c>
      <c r="M16" s="24" t="n">
        <f aca="false">L16-K16</f>
        <v>1</v>
      </c>
      <c r="O16" s="27" t="s">
        <v>92</v>
      </c>
      <c r="P16" s="28" t="n">
        <f aca="false">SUMPRODUCT((($I$5:$I$40&lt;$F$5:$F$40)*$I$5:$I$40+($I$5:$I$40&gt;=$F$5:$F$40)*$F$5:$F$40))/SUMPRODUCT((($I$5:$I$40&gt;$F$5:$F$40)*$I$5:$I$40+($I$5:$I$40&lt;=$F$5:$F$40)*$F$5:$F$40))</f>
        <v>1</v>
      </c>
      <c r="Q16" s="28" t="n">
        <f aca="false">SUMPRODUCT((($I$5:$I$40&lt;$G$5:$G$40)*$I$5:$I$40+($I$5:$I$40&gt;=$G$5:$G$40)*$G$5:$G$40))/SUMPRODUCT((($I$5:$I$40&gt;$G$5:$G$40)*$I$5:$I$40+($I$5:$I$40&lt;=$G$5:$G$40)*$G$5:$G$40))</f>
        <v>1</v>
      </c>
      <c r="R16" s="28" t="n">
        <f aca="false">SUMPRODUCT((($I$5:$I$40&lt;$H$5:$H$40)*$I$5:$I$40+($I$5:$I$40&gt;=$H$5:$H$40)*$H$5:$H$40))/SUMPRODUCT((($I$5:$I$40&gt;$H$5:$H$40)*$I$5:$I$40+($I$5:$I$40&lt;=$H$5:$H$40)*$H$5:$H$40))</f>
        <v>1</v>
      </c>
      <c r="S16" s="28" t="n">
        <f aca="false">SUMPRODUCT((($I$5:$I$40&lt;$I$5:$I$40)*$I$5:$I$40+($I$5:$I$40&gt;=$I$5:$I$40)*$I$5:$I$40))/SUMPRODUCT((($I$5:$I$40&gt;$I$5:$I$40)*$I$5:$I$40+($I$5:$I$40&lt;=$I$5:$I$40)*$I$5:$I$40))</f>
        <v>1</v>
      </c>
      <c r="T16" s="28" t="n">
        <f aca="false">SUMPRODUCT((($I$5:$I$40&lt;$J$5:$J$40)*$I$5:$I$40+($I$5:$I$40&gt;=$J$5:$J$40)*$J$5:$J$40))/SUMPRODUCT((($I$5:$I$40&gt;$J$5:$J$40)*$I$5:$I$40+($I$5:$I$40&lt;=$J$5:$J$40)*$J$5:$J$40))</f>
        <v>0.91304347826087</v>
      </c>
    </row>
    <row r="17" customFormat="false" ht="15" hidden="false" customHeight="false" outlineLevel="0" collapsed="false">
      <c r="A17" s="24" t="s">
        <v>137</v>
      </c>
      <c r="B17" s="25" t="s">
        <v>109</v>
      </c>
      <c r="C17" s="24" t="s">
        <v>209</v>
      </c>
      <c r="D17" s="25" t="s">
        <v>225</v>
      </c>
      <c r="E17" s="26" t="n">
        <v>1</v>
      </c>
      <c r="F17" s="26" t="n">
        <v>3</v>
      </c>
      <c r="G17" s="26" t="n">
        <v>3</v>
      </c>
      <c r="H17" s="26" t="n">
        <v>3</v>
      </c>
      <c r="I17" s="26" t="n">
        <v>3</v>
      </c>
      <c r="J17" s="26" t="n">
        <v>2</v>
      </c>
      <c r="K17" s="24" t="n">
        <f aca="false">MIN(F17:J17)</f>
        <v>2</v>
      </c>
      <c r="L17" s="24" t="n">
        <f aca="false">MAX(F17:J17)</f>
        <v>3</v>
      </c>
      <c r="M17" s="24" t="n">
        <f aca="false">L17-K17</f>
        <v>1</v>
      </c>
      <c r="O17" s="27" t="s">
        <v>93</v>
      </c>
      <c r="P17" s="28" t="n">
        <f aca="false">SUMPRODUCT((($J$5:$J$40&lt;$F$5:$F$40)*$J$5:$J$40+($J$5:$J$40&gt;=$F$5:$F$40)*$F$5:$F$40))/SUMPRODUCT((($J$5:$J$40&gt;$F$5:$F$40)*$J$5:$J$40+($J$5:$J$40&lt;=$F$5:$F$40)*$F$5:$F$40))</f>
        <v>0.91304347826087</v>
      </c>
      <c r="Q17" s="28" t="n">
        <f aca="false">SUMPRODUCT((($J$5:$J$40&lt;$G$5:$G$40)*$J$5:$J$40+($J$5:$J$40&gt;=$G$5:$G$40)*$G$5:$G$40))/SUMPRODUCT((($J$5:$J$40&gt;$G$5:$G$40)*$J$5:$J$40+($J$5:$J$40&lt;=$G$5:$G$40)*$G$5:$G$40))</f>
        <v>0.91304347826087</v>
      </c>
      <c r="R17" s="28" t="n">
        <f aca="false">SUMPRODUCT((($J$5:$J$40&lt;$H$5:$H$40)*$J$5:$J$40+($J$5:$J$40&gt;=$H$5:$H$40)*$H$5:$H$40))/SUMPRODUCT((($J$5:$J$40&gt;$H$5:$H$40)*$J$5:$J$40+($J$5:$J$40&lt;=$H$5:$H$40)*$H$5:$H$40))</f>
        <v>0.91304347826087</v>
      </c>
      <c r="S17" s="28" t="n">
        <f aca="false">SUMPRODUCT((($J$5:$J$40&lt;$I$5:$I$40)*$J$5:$J$40+($J$5:$J$40&gt;=$I$5:$I$40)*$I$5:$I$40))/SUMPRODUCT((($J$5:$J$40&gt;$I$5:$I$40)*$J$5:$J$40+($J$5:$J$40&lt;=$I$5:$I$40)*$I$5:$I$40))</f>
        <v>0.91304347826087</v>
      </c>
      <c r="T17" s="28" t="n">
        <f aca="false">SUMPRODUCT((($J$5:$J$40&lt;$J$5:$J$40)*$J$5:$J$40+($J$5:$J$40&gt;=$J$5:$J$40)*$J$5:$J$40))/SUMPRODUCT((($J$5:$J$40&gt;$J$5:$J$40)*$J$5:$J$40+($J$5:$J$40&lt;=$J$5:$J$40)*$J$5:$J$40))</f>
        <v>1</v>
      </c>
    </row>
    <row r="18" customFormat="false" ht="15" hidden="false" customHeight="false" outlineLevel="0" collapsed="false">
      <c r="A18" s="24" t="s">
        <v>140</v>
      </c>
      <c r="B18" s="25" t="s">
        <v>109</v>
      </c>
      <c r="C18" s="24" t="s">
        <v>136</v>
      </c>
      <c r="D18" s="25" t="s">
        <v>116</v>
      </c>
      <c r="E18" s="26" t="n">
        <v>1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4" t="n">
        <f aca="false">MIN(F18:J18)</f>
        <v>1</v>
      </c>
      <c r="L18" s="24" t="n">
        <f aca="false">MAX(F18:J18)</f>
        <v>1</v>
      </c>
      <c r="M18" s="24" t="n">
        <f aca="false">L18-K18</f>
        <v>0</v>
      </c>
    </row>
    <row r="19" customFormat="false" ht="15" hidden="false" customHeight="false" outlineLevel="0" collapsed="false">
      <c r="A19" s="24" t="s">
        <v>141</v>
      </c>
      <c r="B19" s="25" t="s">
        <v>116</v>
      </c>
      <c r="C19" s="24" t="s">
        <v>124</v>
      </c>
      <c r="D19" s="25" t="s">
        <v>120</v>
      </c>
      <c r="E19" s="26" t="n">
        <v>1</v>
      </c>
      <c r="F19" s="26" t="n">
        <v>1</v>
      </c>
      <c r="G19" s="26" t="n">
        <v>1</v>
      </c>
      <c r="H19" s="26" t="n">
        <v>1</v>
      </c>
      <c r="I19" s="26" t="n">
        <v>1</v>
      </c>
      <c r="J19" s="26" t="n">
        <v>1</v>
      </c>
      <c r="K19" s="24" t="n">
        <f aca="false">MIN(F19:J19)</f>
        <v>1</v>
      </c>
      <c r="L19" s="24" t="n">
        <f aca="false">MAX(F19:J19)</f>
        <v>1</v>
      </c>
      <c r="M19" s="24" t="n">
        <f aca="false">L19-K19</f>
        <v>0</v>
      </c>
      <c r="O19" s="17" t="s">
        <v>142</v>
      </c>
    </row>
    <row r="20" customFormat="false" ht="23.85" hidden="false" customHeight="false" outlineLevel="0" collapsed="false">
      <c r="A20" s="24" t="s">
        <v>143</v>
      </c>
      <c r="B20" s="25" t="s">
        <v>116</v>
      </c>
      <c r="C20" s="24" t="s">
        <v>127</v>
      </c>
      <c r="D20" s="25" t="s">
        <v>194</v>
      </c>
      <c r="E20" s="26" t="n">
        <v>1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4" t="n">
        <f aca="false">MIN(F20:J20)</f>
        <v>1</v>
      </c>
      <c r="L20" s="24" t="n">
        <f aca="false">MAX(F20:J20)</f>
        <v>1</v>
      </c>
      <c r="M20" s="24" t="n">
        <f aca="false">L20-K20</f>
        <v>0</v>
      </c>
      <c r="P20" s="7" t="s">
        <v>89</v>
      </c>
      <c r="Q20" s="7" t="s">
        <v>90</v>
      </c>
      <c r="R20" s="7" t="s">
        <v>91</v>
      </c>
      <c r="S20" s="7" t="s">
        <v>92</v>
      </c>
      <c r="T20" s="7" t="s">
        <v>93</v>
      </c>
    </row>
    <row r="21" customFormat="false" ht="15" hidden="false" customHeight="false" outlineLevel="0" collapsed="false">
      <c r="A21" s="24" t="s">
        <v>144</v>
      </c>
      <c r="B21" s="25" t="s">
        <v>102</v>
      </c>
      <c r="C21" s="24" t="s">
        <v>101</v>
      </c>
      <c r="D21" s="25" t="s">
        <v>145</v>
      </c>
      <c r="E21" s="26" t="n">
        <v>0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4" t="n">
        <f aca="false">MIN(F21:J21)</f>
        <v>1</v>
      </c>
      <c r="L21" s="24" t="n">
        <f aca="false">MAX(F21:J21)</f>
        <v>1</v>
      </c>
      <c r="M21" s="24" t="n">
        <f aca="false">L21-K21</f>
        <v>0</v>
      </c>
      <c r="O21" s="27" t="s">
        <v>89</v>
      </c>
      <c r="P21" s="28" t="n">
        <f aca="false">SUMPRODUCT($E$5:$E$40*(($F$5:$F$40&lt;$F$5:$F$40)*$F$5:$F$40+($F$5:$F$40&gt;=$F$5:$F$40)*$F$5:$F$40))/SUMPRODUCT($E$5:$E$40*(($F$5:$F$40&gt;$F$5:$F$40)*$F$5:$F$40+($F$5:$F$40&lt;=$F$5:$F$40)*$F$5:$F$40))</f>
        <v>1</v>
      </c>
      <c r="Q21" s="28" t="n">
        <f aca="false">SUMPRODUCT($E$5:$E$40*(($F$5:$F$40&lt;$G$5:$G$40)*$F$5:$F$40+($F$5:$F$40&gt;=$G$5:$G$40)*$G$5:$G$40))/SUMPRODUCT($E$5:$E$40*(($F$5:$F$40&gt;$G$5:$G$40)*$F$5:$F$40+($F$5:$F$40&lt;=$G$5:$G$40)*$G$5:$G$40))</f>
        <v>1</v>
      </c>
      <c r="R21" s="28" t="n">
        <f aca="false">SUMPRODUCT($E$5:$E$40*(($F$5:$F$40&lt;$H$5:$H$40)*$F$5:$F$40+($F$5:$F$40&gt;=$H$5:$H$40)*$H$5:$H$40))/SUMPRODUCT($E$5:$E$40*(($F$5:$F$40&gt;$H$5:$H$40)*$F$5:$F$40+($F$5:$F$40&lt;=$H$5:$H$40)*$H$5:$H$40))</f>
        <v>1</v>
      </c>
      <c r="S21" s="28" t="n">
        <f aca="false">SUMPRODUCT($E$5:$E$40*(($F$5:$F$40&lt;$I$5:$I$40)*$F$5:$F$40+($F$5:$F$40&gt;=$I$5:$I$40)*$I$5:$I$40))/SUMPRODUCT($E$5:$E$40*(($F$5:$F$40&gt;$I$5:$I$40)*$F$5:$F$40+($F$5:$F$40&lt;=$I$5:$I$40)*$I$5:$I$40))</f>
        <v>1</v>
      </c>
      <c r="T21" s="28" t="n">
        <f aca="false">SUMPRODUCT($E$5:$E$40*(($F$5:$F$40&lt;$J$5:$J$40)*$F$5:$F$40+($F$5:$F$40&gt;=$J$5:$J$40)*$J$5:$J$40))/SUMPRODUCT($E$5:$E$40*(($F$5:$F$40&gt;$J$5:$J$40)*$F$5:$F$40+($F$5:$F$40&lt;=$J$5:$J$40)*$J$5:$J$40))</f>
        <v>0.846153846153846</v>
      </c>
    </row>
    <row r="22" customFormat="false" ht="15" hidden="false" customHeight="false" outlineLevel="0" collapsed="false">
      <c r="A22" s="24" t="s">
        <v>146</v>
      </c>
      <c r="B22" s="25" t="s">
        <v>239</v>
      </c>
      <c r="C22" s="24" t="s">
        <v>101</v>
      </c>
      <c r="D22" s="25" t="s">
        <v>145</v>
      </c>
      <c r="E22" s="26" t="n">
        <v>0</v>
      </c>
      <c r="F22" s="26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4" t="n">
        <f aca="false">MIN(F22:J22)</f>
        <v>1</v>
      </c>
      <c r="L22" s="24" t="n">
        <f aca="false">MAX(F22:J22)</f>
        <v>1</v>
      </c>
      <c r="M22" s="24" t="n">
        <f aca="false">L22-K22</f>
        <v>0</v>
      </c>
      <c r="O22" s="27" t="s">
        <v>90</v>
      </c>
      <c r="P22" s="28" t="n">
        <f aca="false">SUMPRODUCT($E$5:$E$40*(($G$5:$G$40&lt;$F$5:$F$40)*$G$5:$G$40+($G$5:$G$40&gt;=$F$5:$F$40)*$F$5:$F$40))/SUMPRODUCT($E$5:$E$40*(($G$5:$G$40&gt;$F$5:$F$40)*$G$5:$G$40+($G$5:$G$40&lt;=$F$5:$F$40)*$F$5:$F$40))</f>
        <v>1</v>
      </c>
      <c r="Q22" s="28" t="n">
        <f aca="false">SUMPRODUCT($E$5:$E$40*(($G$5:$G$40&lt;$G$5:$G$40)*$G$5:$G$40+($G$5:$G$40&gt;=$G$5:$G$40)*$G$5:$G$40))/SUMPRODUCT($E$5:$E$40*(($G$5:$G$40&gt;$G$5:$G$40)*$G$5:$G$40+($G$5:$G$40&lt;=$G$5:$G$40)*$G$5:$G$40))</f>
        <v>1</v>
      </c>
      <c r="R22" s="28" t="n">
        <f aca="false">SUMPRODUCT($E$5:$E$40*(($G$5:$G$40&lt;$H$5:$H$40)*$G$5:$G$40+($G$5:$G$40&gt;=$H$5:$H$40)*$H$5:$H$40))/SUMPRODUCT($E$5:$E$40*(($G$5:$G$40&gt;$H$5:$H$40)*$G$5:$G$40+($G$5:$G$40&lt;=$H$5:$H$40)*$H$5:$H$40))</f>
        <v>1</v>
      </c>
      <c r="S22" s="28" t="n">
        <f aca="false">SUMPRODUCT($E$5:$E$40*(($G$5:$G$40&lt;$I$5:$I$40)*$G$5:$G$40+($G$5:$G$40&gt;=$I$5:$I$40)*$I$5:$I$40))/SUMPRODUCT($E$5:$E$40*(($G$5:$G$40&gt;$I$5:$I$40)*$G$5:$G$40+($G$5:$G$40&lt;=$I$5:$I$40)*$I$5:$I$40))</f>
        <v>1</v>
      </c>
      <c r="T22" s="28" t="n">
        <f aca="false">SUMPRODUCT($E$5:$E$40*(($G$5:$G$40&lt;$J$5:$J$40)*$G$5:$G$40+($G$5:$G$40&gt;=$J$5:$J$40)*$J$5:$J$40))/SUMPRODUCT($E$5:$E$40*(($G$5:$G$40&gt;$J$5:$J$40)*$G$5:$G$40+($G$5:$G$40&lt;=$J$5:$J$40)*$J$5:$J$40))</f>
        <v>0.846153846153846</v>
      </c>
    </row>
    <row r="23" customFormat="false" ht="15" hidden="false" customHeight="false" outlineLevel="0" collapsed="false">
      <c r="A23" s="24" t="s">
        <v>147</v>
      </c>
      <c r="B23" s="25" t="s">
        <v>196</v>
      </c>
      <c r="C23" s="24" t="s">
        <v>101</v>
      </c>
      <c r="D23" s="25" t="s">
        <v>145</v>
      </c>
      <c r="E23" s="26" t="n">
        <v>0</v>
      </c>
      <c r="F23" s="26" t="n">
        <v>1</v>
      </c>
      <c r="G23" s="26" t="n">
        <v>1</v>
      </c>
      <c r="H23" s="26" t="n">
        <v>1</v>
      </c>
      <c r="I23" s="26" t="n">
        <v>1</v>
      </c>
      <c r="J23" s="26" t="n">
        <v>1</v>
      </c>
      <c r="K23" s="24" t="n">
        <f aca="false">MIN(F23:J23)</f>
        <v>1</v>
      </c>
      <c r="L23" s="24" t="n">
        <f aca="false">MAX(F23:J23)</f>
        <v>1</v>
      </c>
      <c r="M23" s="24" t="n">
        <f aca="false">L23-K23</f>
        <v>0</v>
      </c>
      <c r="O23" s="27" t="s">
        <v>91</v>
      </c>
      <c r="P23" s="28" t="n">
        <f aca="false">SUMPRODUCT($E$5:$E$40*(($H$5:$H$40&lt;$F$5:$F$40)*$H$5:$H$40+($H$5:$H$40&gt;=$F$5:$F$40)*$F$5:$F$40))/SUMPRODUCT($E$5:$E$40*(($H$5:$H$40&gt;$F$5:$F$40)*$H$5:$H$40+($H$5:$H$40&lt;=$F$5:$F$40)*$F$5:$F$40))</f>
        <v>1</v>
      </c>
      <c r="Q23" s="28" t="n">
        <f aca="false">SUMPRODUCT($E$5:$E$40*(($H$5:$H$40&lt;$G$5:$G$40)*$H$5:$H$40+($H$5:$H$40&gt;=$G$5:$G$40)*$G$5:$G$40))/SUMPRODUCT($E$5:$E$40*(($H$5:$H$40&gt;$G$5:$G$40)*$H$5:$H$40+($H$5:$H$40&lt;=$G$5:$G$40)*$G$5:$G$40))</f>
        <v>1</v>
      </c>
      <c r="R23" s="28" t="n">
        <f aca="false">SUMPRODUCT($E$5:$E$40*(($H$5:$H$40&lt;$H$5:$H$40)*$H$5:$H$40+($H$5:$H$40&gt;=$H$5:$H$40)*$H$5:$H$40))/SUMPRODUCT($E$5:$E$40*(($H$5:$H$40&gt;$H$5:$H$40)*$H$5:$H$40+($H$5:$H$40&lt;=$H$5:$H$40)*$H$5:$H$40))</f>
        <v>1</v>
      </c>
      <c r="S23" s="28" t="n">
        <f aca="false">SUMPRODUCT($E$5:$E$40*(($H$5:$H$40&lt;$I$5:$I$40)*$H$5:$H$40+($H$5:$H$40&gt;=$I$5:$I$40)*$I$5:$I$40))/SUMPRODUCT($E$5:$E$40*(($H$5:$H$40&gt;$I$5:$I$40)*$H$5:$H$40+($H$5:$H$40&lt;=$I$5:$I$40)*$I$5:$I$40))</f>
        <v>1</v>
      </c>
      <c r="T23" s="28" t="n">
        <f aca="false">SUMPRODUCT($E$5:$E$40*(($H$5:$H$40&lt;$J$5:$J$40)*$H$5:$H$40+($H$5:$H$40&gt;=$J$5:$J$40)*$J$5:$J$40))/SUMPRODUCT($E$5:$E$40*(($H$5:$H$40&gt;$J$5:$J$40)*$H$5:$H$40+($H$5:$H$40&lt;=$J$5:$J$40)*$J$5:$J$40))</f>
        <v>0.846153846153846</v>
      </c>
    </row>
    <row r="24" customFormat="false" ht="15" hidden="false" customHeight="false" outlineLevel="0" collapsed="false">
      <c r="A24" s="24" t="s">
        <v>148</v>
      </c>
      <c r="B24" s="25" t="s">
        <v>198</v>
      </c>
      <c r="C24" s="24" t="s">
        <v>101</v>
      </c>
      <c r="D24" s="25" t="s">
        <v>145</v>
      </c>
      <c r="E24" s="26" t="n">
        <v>0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4" t="n">
        <f aca="false">MIN(F24:J24)</f>
        <v>1</v>
      </c>
      <c r="L24" s="24" t="n">
        <f aca="false">MAX(F24:J24)</f>
        <v>1</v>
      </c>
      <c r="M24" s="24" t="n">
        <f aca="false">L24-K24</f>
        <v>0</v>
      </c>
      <c r="O24" s="27" t="s">
        <v>92</v>
      </c>
      <c r="P24" s="28" t="n">
        <f aca="false">SUMPRODUCT($E$5:$E$40*(($I$5:$I$40&lt;$F$5:$F$40)*$I$5:$I$40+($I$5:$I$40&gt;=$F$5:$F$40)*$F$5:$F$40))/SUMPRODUCT($E$5:$E$40*(($I$5:$I$40&gt;$F$5:$F$40)*$I$5:$I$40+($I$5:$I$40&lt;=$F$5:$F$40)*$F$5:$F$40))</f>
        <v>1</v>
      </c>
      <c r="Q24" s="28" t="n">
        <f aca="false">SUMPRODUCT($E$5:$E$40*(($I$5:$I$40&lt;$G$5:$G$40)*$I$5:$I$40+($I$5:$I$40&gt;=$G$5:$G$40)*$G$5:$G$40))/SUMPRODUCT($E$5:$E$40*(($I$5:$I$40&gt;$G$5:$G$40)*$I$5:$I$40+($I$5:$I$40&lt;=$G$5:$G$40)*$G$5:$G$40))</f>
        <v>1</v>
      </c>
      <c r="R24" s="28" t="n">
        <f aca="false">SUMPRODUCT($E$5:$E$40*(($I$5:$I$40&lt;$H$5:$H$40)*$I$5:$I$40+($I$5:$I$40&gt;=$H$5:$H$40)*$H$5:$H$40))/SUMPRODUCT($E$5:$E$40*(($I$5:$I$40&gt;$H$5:$H$40)*$I$5:$I$40+($I$5:$I$40&lt;=$H$5:$H$40)*$H$5:$H$40))</f>
        <v>1</v>
      </c>
      <c r="S24" s="28" t="n">
        <f aca="false">SUMPRODUCT($E$5:$E$40*(($I$5:$I$40&lt;$I$5:$I$40)*$I$5:$I$40+($I$5:$I$40&gt;=$I$5:$I$40)*$I$5:$I$40))/SUMPRODUCT($E$5:$E$40*(($I$5:$I$40&gt;$I$5:$I$40)*$I$5:$I$40+($I$5:$I$40&lt;=$I$5:$I$40)*$I$5:$I$40))</f>
        <v>1</v>
      </c>
      <c r="T24" s="28" t="n">
        <f aca="false">SUMPRODUCT($E$5:$E$40*(($I$5:$I$40&lt;$J$5:$J$40)*$I$5:$I$40+($I$5:$I$40&gt;=$J$5:$J$40)*$J$5:$J$40))/SUMPRODUCT($E$5:$E$40*(($I$5:$I$40&gt;$J$5:$J$40)*$I$5:$I$40+($I$5:$I$40&lt;=$J$5:$J$40)*$J$5:$J$40))</f>
        <v>0.846153846153846</v>
      </c>
    </row>
    <row r="25" customFormat="false" ht="15" hidden="false" customHeight="false" outlineLevel="0" collapsed="false">
      <c r="A25" s="24" t="s">
        <v>149</v>
      </c>
      <c r="B25" s="25" t="s">
        <v>200</v>
      </c>
      <c r="C25" s="24" t="s">
        <v>101</v>
      </c>
      <c r="D25" s="25" t="s">
        <v>145</v>
      </c>
      <c r="E25" s="26" t="n">
        <v>0</v>
      </c>
      <c r="F25" s="26" t="n">
        <v>1</v>
      </c>
      <c r="G25" s="26" t="n">
        <v>1</v>
      </c>
      <c r="H25" s="26" t="n">
        <v>1</v>
      </c>
      <c r="I25" s="26" t="n">
        <v>1</v>
      </c>
      <c r="J25" s="26" t="n">
        <v>1</v>
      </c>
      <c r="K25" s="24" t="n">
        <f aca="false">MIN(F25:J25)</f>
        <v>1</v>
      </c>
      <c r="L25" s="24" t="n">
        <f aca="false">MAX(F25:J25)</f>
        <v>1</v>
      </c>
      <c r="M25" s="24" t="n">
        <f aca="false">L25-K25</f>
        <v>0</v>
      </c>
      <c r="O25" s="27" t="s">
        <v>93</v>
      </c>
      <c r="P25" s="28" t="n">
        <f aca="false">SUMPRODUCT($E$5:$E$40*(($J$5:$J$40&lt;$F$5:$F$40)*$J$5:$J$40+($J$5:$J$40&gt;=$F$5:$F$40)*$F$5:$F$40))/SUMPRODUCT($E$5:$E$40*(($J$5:$J$40&gt;$F$5:$F$40)*$J$5:$J$40+($J$5:$J$40&lt;=$F$5:$F$40)*$F$5:$F$40))</f>
        <v>0.846153846153846</v>
      </c>
      <c r="Q25" s="28" t="n">
        <f aca="false">SUMPRODUCT($E$5:$E$40*(($J$5:$J$40&lt;$G$5:$G$40)*$J$5:$J$40+($J$5:$J$40&gt;=$G$5:$G$40)*$G$5:$G$40))/SUMPRODUCT($E$5:$E$40*(($J$5:$J$40&gt;$G$5:$G$40)*$J$5:$J$40+($J$5:$J$40&lt;=$G$5:$G$40)*$G$5:$G$40))</f>
        <v>0.846153846153846</v>
      </c>
      <c r="R25" s="28" t="n">
        <f aca="false">SUMPRODUCT($E$5:$E$40*(($J$5:$J$40&lt;$H$5:$H$40)*$J$5:$J$40+($J$5:$J$40&gt;=$H$5:$H$40)*$H$5:$H$40))/SUMPRODUCT($E$5:$E$40*(($J$5:$J$40&gt;$H$5:$H$40)*$J$5:$J$40+($J$5:$J$40&lt;=$H$5:$H$40)*$H$5:$H$40))</f>
        <v>0.846153846153846</v>
      </c>
      <c r="S25" s="28" t="n">
        <f aca="false">SUMPRODUCT($E$5:$E$40*(($J$5:$J$40&lt;$I$5:$I$40)*$J$5:$J$40+($J$5:$J$40&gt;=$I$5:$I$40)*$I$5:$I$40))/SUMPRODUCT($E$5:$E$40*(($J$5:$J$40&gt;$I$5:$I$40)*$J$5:$J$40+($J$5:$J$40&lt;=$I$5:$I$40)*$I$5:$I$40))</f>
        <v>0.846153846153846</v>
      </c>
      <c r="T25" s="28" t="n">
        <f aca="false">SUMPRODUCT($E$5:$E$40*(($J$5:$J$40&lt;$J$5:$J$40)*$J$5:$J$40+($J$5:$J$40&gt;=$J$5:$J$40)*$J$5:$J$40))/SUMPRODUCT($E$5:$E$40*(($J$5:$J$40&gt;$J$5:$J$40)*$J$5:$J$40+($J$5:$J$40&lt;=$J$5:$J$40)*$J$5:$J$40))</f>
        <v>1</v>
      </c>
    </row>
    <row r="26" customFormat="false" ht="15" hidden="false" customHeight="false" outlineLevel="0" collapsed="false">
      <c r="A26" s="24" t="s">
        <v>150</v>
      </c>
      <c r="B26" s="25" t="s">
        <v>113</v>
      </c>
      <c r="C26" s="24" t="s">
        <v>101</v>
      </c>
      <c r="D26" s="25" t="s">
        <v>145</v>
      </c>
      <c r="E26" s="26" t="n">
        <v>0</v>
      </c>
      <c r="F26" s="26" t="n">
        <v>1</v>
      </c>
      <c r="G26" s="26" t="n">
        <v>1</v>
      </c>
      <c r="H26" s="26" t="n">
        <v>1</v>
      </c>
      <c r="I26" s="26" t="n">
        <v>1</v>
      </c>
      <c r="J26" s="26" t="n">
        <v>1</v>
      </c>
      <c r="K26" s="24" t="n">
        <f aca="false">MIN(F26:J26)</f>
        <v>1</v>
      </c>
      <c r="L26" s="24" t="n">
        <f aca="false">MAX(F26:J26)</f>
        <v>1</v>
      </c>
      <c r="M26" s="24" t="n">
        <f aca="false">L26-K26</f>
        <v>0</v>
      </c>
    </row>
    <row r="27" customFormat="false" ht="15" hidden="false" customHeight="false" outlineLevel="0" collapsed="false">
      <c r="A27" s="24" t="s">
        <v>152</v>
      </c>
      <c r="B27" s="25" t="s">
        <v>208</v>
      </c>
      <c r="C27" s="24" t="s">
        <v>101</v>
      </c>
      <c r="D27" s="25" t="s">
        <v>145</v>
      </c>
      <c r="E27" s="26" t="n">
        <v>0</v>
      </c>
      <c r="F27" s="26" t="n">
        <v>1</v>
      </c>
      <c r="G27" s="26" t="n">
        <v>1</v>
      </c>
      <c r="H27" s="26" t="n">
        <v>1</v>
      </c>
      <c r="I27" s="26" t="n">
        <v>1</v>
      </c>
      <c r="J27" s="26" t="n">
        <v>1</v>
      </c>
      <c r="K27" s="24" t="n">
        <f aca="false">MIN(F27:J27)</f>
        <v>1</v>
      </c>
      <c r="L27" s="24" t="n">
        <f aca="false">MAX(F27:J27)</f>
        <v>1</v>
      </c>
      <c r="M27" s="24" t="n">
        <f aca="false">L27-K27</f>
        <v>0</v>
      </c>
      <c r="O27" s="7" t="s">
        <v>65</v>
      </c>
      <c r="P27" s="7" t="s">
        <v>68</v>
      </c>
      <c r="Q27" s="7" t="s">
        <v>69</v>
      </c>
    </row>
    <row r="28" customFormat="false" ht="15" hidden="false" customHeight="false" outlineLevel="0" collapsed="false">
      <c r="A28" s="24" t="s">
        <v>153</v>
      </c>
      <c r="B28" s="25" t="s">
        <v>226</v>
      </c>
      <c r="C28" s="24" t="s">
        <v>101</v>
      </c>
      <c r="D28" s="25" t="s">
        <v>145</v>
      </c>
      <c r="E28" s="26" t="n">
        <v>0</v>
      </c>
      <c r="F28" s="26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4" t="n">
        <f aca="false">MIN(F28:J28)</f>
        <v>1</v>
      </c>
      <c r="L28" s="24" t="n">
        <f aca="false">MAX(F28:J28)</f>
        <v>1</v>
      </c>
      <c r="M28" s="24" t="n">
        <f aca="false">L28-K28</f>
        <v>0</v>
      </c>
      <c r="O28" s="22" t="s">
        <v>72</v>
      </c>
      <c r="P28" s="12" t="n">
        <f aca="false">Q13</f>
        <v>1</v>
      </c>
      <c r="Q28" s="12" t="n">
        <f aca="false">Q21</f>
        <v>1</v>
      </c>
    </row>
    <row r="29" customFormat="false" ht="15" hidden="false" customHeight="false" outlineLevel="0" collapsed="false">
      <c r="A29" s="24" t="s">
        <v>156</v>
      </c>
      <c r="B29" s="25" t="s">
        <v>117</v>
      </c>
      <c r="C29" s="24" t="s">
        <v>101</v>
      </c>
      <c r="D29" s="25" t="s">
        <v>145</v>
      </c>
      <c r="E29" s="26" t="n">
        <v>0</v>
      </c>
      <c r="F29" s="26" t="n">
        <v>1</v>
      </c>
      <c r="G29" s="26" t="n">
        <v>1</v>
      </c>
      <c r="H29" s="26" t="n">
        <v>1</v>
      </c>
      <c r="I29" s="26" t="n">
        <v>1</v>
      </c>
      <c r="J29" s="26" t="n">
        <v>1</v>
      </c>
      <c r="K29" s="24" t="n">
        <f aca="false">MIN(F29:J29)</f>
        <v>1</v>
      </c>
      <c r="L29" s="24" t="n">
        <f aca="false">MAX(F29:J29)</f>
        <v>1</v>
      </c>
      <c r="M29" s="24" t="n">
        <f aca="false">L29-K29</f>
        <v>0</v>
      </c>
      <c r="O29" s="22" t="s">
        <v>73</v>
      </c>
      <c r="P29" s="12" t="n">
        <f aca="false">R13</f>
        <v>1</v>
      </c>
      <c r="Q29" s="12" t="n">
        <f aca="false">R21</f>
        <v>1</v>
      </c>
    </row>
    <row r="30" customFormat="false" ht="15" hidden="false" customHeight="false" outlineLevel="0" collapsed="false">
      <c r="A30" s="24" t="s">
        <v>158</v>
      </c>
      <c r="B30" s="25" t="s">
        <v>121</v>
      </c>
      <c r="C30" s="24" t="s">
        <v>101</v>
      </c>
      <c r="D30" s="25" t="s">
        <v>145</v>
      </c>
      <c r="E30" s="26" t="n">
        <v>0</v>
      </c>
      <c r="F30" s="26" t="n">
        <v>1</v>
      </c>
      <c r="G30" s="26" t="n">
        <v>1</v>
      </c>
      <c r="H30" s="26" t="n">
        <v>1</v>
      </c>
      <c r="I30" s="26" t="n">
        <v>1</v>
      </c>
      <c r="J30" s="26" t="n">
        <v>1</v>
      </c>
      <c r="K30" s="24" t="n">
        <f aca="false">MIN(F30:J30)</f>
        <v>1</v>
      </c>
      <c r="L30" s="24" t="n">
        <f aca="false">MAX(F30:J30)</f>
        <v>1</v>
      </c>
      <c r="M30" s="24" t="n">
        <f aca="false">L30-K30</f>
        <v>0</v>
      </c>
      <c r="O30" s="22" t="s">
        <v>74</v>
      </c>
      <c r="P30" s="12" t="n">
        <f aca="false">S13</f>
        <v>1</v>
      </c>
      <c r="Q30" s="12" t="n">
        <f aca="false">S21</f>
        <v>1</v>
      </c>
    </row>
    <row r="31" customFormat="false" ht="15" hidden="false" customHeight="false" outlineLevel="0" collapsed="false">
      <c r="A31" s="24" t="s">
        <v>159</v>
      </c>
      <c r="B31" s="25" t="s">
        <v>124</v>
      </c>
      <c r="C31" s="24" t="s">
        <v>101</v>
      </c>
      <c r="D31" s="25" t="s">
        <v>151</v>
      </c>
      <c r="E31" s="26" t="n">
        <v>0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4" t="n">
        <f aca="false">MIN(F31:J31)</f>
        <v>1</v>
      </c>
      <c r="L31" s="24" t="n">
        <f aca="false">MAX(F31:J31)</f>
        <v>1</v>
      </c>
      <c r="M31" s="24" t="n">
        <f aca="false">L31-K31</f>
        <v>0</v>
      </c>
      <c r="O31" s="22" t="s">
        <v>75</v>
      </c>
      <c r="P31" s="12" t="n">
        <f aca="false">T13</f>
        <v>0.91304347826087</v>
      </c>
      <c r="Q31" s="12" t="n">
        <f aca="false">T21</f>
        <v>0.846153846153846</v>
      </c>
    </row>
    <row r="32" customFormat="false" ht="15" hidden="false" customHeight="false" outlineLevel="0" collapsed="false">
      <c r="A32" s="24" t="s">
        <v>160</v>
      </c>
      <c r="B32" s="25" t="s">
        <v>241</v>
      </c>
      <c r="C32" s="24" t="s">
        <v>101</v>
      </c>
      <c r="D32" s="25" t="s">
        <v>151</v>
      </c>
      <c r="E32" s="26" t="n">
        <v>0</v>
      </c>
      <c r="F32" s="26" t="n">
        <v>1</v>
      </c>
      <c r="G32" s="26" t="n">
        <v>1</v>
      </c>
      <c r="H32" s="26" t="n">
        <v>1</v>
      </c>
      <c r="I32" s="26" t="n">
        <v>1</v>
      </c>
      <c r="J32" s="26" t="n">
        <v>1</v>
      </c>
      <c r="K32" s="24" t="n">
        <f aca="false">MIN(F32:J32)</f>
        <v>1</v>
      </c>
      <c r="L32" s="24" t="n">
        <f aca="false">MAX(F32:J32)</f>
        <v>1</v>
      </c>
      <c r="M32" s="24" t="n">
        <f aca="false">L32-K32</f>
        <v>0</v>
      </c>
      <c r="O32" s="22" t="s">
        <v>76</v>
      </c>
      <c r="P32" s="12" t="n">
        <f aca="false">R14</f>
        <v>1</v>
      </c>
      <c r="Q32" s="12" t="n">
        <f aca="false">R22</f>
        <v>1</v>
      </c>
    </row>
    <row r="33" customFormat="false" ht="15" hidden="false" customHeight="false" outlineLevel="0" collapsed="false">
      <c r="A33" s="24" t="s">
        <v>161</v>
      </c>
      <c r="B33" s="25" t="s">
        <v>209</v>
      </c>
      <c r="C33" s="24" t="s">
        <v>101</v>
      </c>
      <c r="D33" s="25" t="s">
        <v>151</v>
      </c>
      <c r="E33" s="26" t="n">
        <v>0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4" t="n">
        <f aca="false">MIN(F33:J33)</f>
        <v>1</v>
      </c>
      <c r="L33" s="24" t="n">
        <f aca="false">MAX(F33:J33)</f>
        <v>1</v>
      </c>
      <c r="M33" s="24" t="n">
        <f aca="false">L33-K33</f>
        <v>0</v>
      </c>
      <c r="O33" s="22" t="s">
        <v>77</v>
      </c>
      <c r="P33" s="12" t="n">
        <f aca="false">S14</f>
        <v>1</v>
      </c>
      <c r="Q33" s="12" t="n">
        <f aca="false">S22</f>
        <v>1</v>
      </c>
    </row>
    <row r="34" customFormat="false" ht="15" hidden="false" customHeight="false" outlineLevel="0" collapsed="false">
      <c r="A34" s="24" t="s">
        <v>163</v>
      </c>
      <c r="B34" s="25" t="s">
        <v>127</v>
      </c>
      <c r="C34" s="24" t="s">
        <v>101</v>
      </c>
      <c r="D34" s="25" t="s">
        <v>151</v>
      </c>
      <c r="E34" s="26" t="n">
        <v>0</v>
      </c>
      <c r="F34" s="26" t="n">
        <v>1</v>
      </c>
      <c r="G34" s="26" t="n">
        <v>1</v>
      </c>
      <c r="H34" s="26" t="n">
        <v>1</v>
      </c>
      <c r="I34" s="26" t="n">
        <v>1</v>
      </c>
      <c r="J34" s="26" t="n">
        <v>1</v>
      </c>
      <c r="K34" s="24" t="n">
        <f aca="false">MIN(F34:J34)</f>
        <v>1</v>
      </c>
      <c r="L34" s="24" t="n">
        <f aca="false">MAX(F34:J34)</f>
        <v>1</v>
      </c>
      <c r="M34" s="24" t="n">
        <f aca="false">L34-K34</f>
        <v>0</v>
      </c>
      <c r="O34" s="22" t="s">
        <v>78</v>
      </c>
      <c r="P34" s="12" t="n">
        <f aca="false">T14</f>
        <v>0.91304347826087</v>
      </c>
      <c r="Q34" s="12" t="n">
        <f aca="false">T22</f>
        <v>0.846153846153846</v>
      </c>
    </row>
    <row r="35" customFormat="false" ht="15" hidden="false" customHeight="false" outlineLevel="0" collapsed="false">
      <c r="A35" s="24" t="s">
        <v>166</v>
      </c>
      <c r="B35" s="25" t="s">
        <v>136</v>
      </c>
      <c r="C35" s="24" t="s">
        <v>101</v>
      </c>
      <c r="D35" s="25" t="s">
        <v>151</v>
      </c>
      <c r="E35" s="26" t="n">
        <v>0</v>
      </c>
      <c r="F35" s="26" t="n">
        <v>1</v>
      </c>
      <c r="G35" s="26" t="n">
        <v>1</v>
      </c>
      <c r="H35" s="26" t="n">
        <v>1</v>
      </c>
      <c r="I35" s="26" t="n">
        <v>1</v>
      </c>
      <c r="J35" s="26" t="n">
        <v>1</v>
      </c>
      <c r="K35" s="24" t="n">
        <f aca="false">MIN(F35:J35)</f>
        <v>1</v>
      </c>
      <c r="L35" s="24" t="n">
        <f aca="false">MAX(F35:J35)</f>
        <v>1</v>
      </c>
      <c r="M35" s="24" t="n">
        <f aca="false">L35-K35</f>
        <v>0</v>
      </c>
      <c r="O35" s="22" t="s">
        <v>79</v>
      </c>
      <c r="P35" s="12" t="n">
        <f aca="false">S15</f>
        <v>1</v>
      </c>
      <c r="Q35" s="12" t="n">
        <f aca="false">S23</f>
        <v>1</v>
      </c>
    </row>
    <row r="36" customFormat="false" ht="15" hidden="false" customHeight="false" outlineLevel="0" collapsed="false">
      <c r="A36" s="24" t="s">
        <v>167</v>
      </c>
      <c r="B36" s="25" t="s">
        <v>124</v>
      </c>
      <c r="C36" s="24" t="s">
        <v>164</v>
      </c>
      <c r="D36" s="25" t="s">
        <v>165</v>
      </c>
      <c r="E36" s="26" t="n">
        <v>0</v>
      </c>
      <c r="F36" s="26" t="n">
        <v>1</v>
      </c>
      <c r="G36" s="26" t="n">
        <v>1</v>
      </c>
      <c r="H36" s="26" t="n">
        <v>1</v>
      </c>
      <c r="I36" s="26" t="n">
        <v>1</v>
      </c>
      <c r="J36" s="26" t="n">
        <v>1</v>
      </c>
      <c r="K36" s="24" t="n">
        <f aca="false">MIN(F36:J36)</f>
        <v>1</v>
      </c>
      <c r="L36" s="24" t="n">
        <f aca="false">MAX(F36:J36)</f>
        <v>1</v>
      </c>
      <c r="M36" s="24" t="n">
        <f aca="false">L36-K36</f>
        <v>0</v>
      </c>
      <c r="O36" s="22" t="s">
        <v>80</v>
      </c>
      <c r="P36" s="12" t="n">
        <f aca="false">T15</f>
        <v>0.91304347826087</v>
      </c>
      <c r="Q36" s="12" t="n">
        <f aca="false">T23</f>
        <v>0.846153846153846</v>
      </c>
    </row>
    <row r="37" customFormat="false" ht="15" hidden="false" customHeight="false" outlineLevel="0" collapsed="false">
      <c r="A37" s="24" t="s">
        <v>168</v>
      </c>
      <c r="B37" s="25" t="s">
        <v>241</v>
      </c>
      <c r="C37" s="24" t="s">
        <v>164</v>
      </c>
      <c r="D37" s="25" t="s">
        <v>165</v>
      </c>
      <c r="E37" s="26" t="n">
        <v>0</v>
      </c>
      <c r="F37" s="26" t="n">
        <v>1</v>
      </c>
      <c r="G37" s="26" t="n">
        <v>1</v>
      </c>
      <c r="H37" s="26" t="n">
        <v>1</v>
      </c>
      <c r="I37" s="26" t="n">
        <v>1</v>
      </c>
      <c r="J37" s="26" t="n">
        <v>1</v>
      </c>
      <c r="K37" s="24" t="n">
        <f aca="false">MIN(F37:J37)</f>
        <v>1</v>
      </c>
      <c r="L37" s="24" t="n">
        <f aca="false">MAX(F37:J37)</f>
        <v>1</v>
      </c>
      <c r="M37" s="24" t="n">
        <f aca="false">L37-K37</f>
        <v>0</v>
      </c>
      <c r="O37" s="22" t="s">
        <v>81</v>
      </c>
      <c r="P37" s="12" t="n">
        <f aca="false">T16</f>
        <v>0.91304347826087</v>
      </c>
      <c r="Q37" s="12" t="n">
        <f aca="false">T24</f>
        <v>0.846153846153846</v>
      </c>
    </row>
    <row r="38" customFormat="false" ht="15" hidden="false" customHeight="false" outlineLevel="0" collapsed="false">
      <c r="A38" s="24" t="s">
        <v>169</v>
      </c>
      <c r="B38" s="25" t="s">
        <v>209</v>
      </c>
      <c r="C38" s="24" t="s">
        <v>164</v>
      </c>
      <c r="D38" s="25" t="s">
        <v>165</v>
      </c>
      <c r="E38" s="26" t="n">
        <v>0</v>
      </c>
      <c r="F38" s="26" t="n">
        <v>1</v>
      </c>
      <c r="G38" s="26" t="n">
        <v>1</v>
      </c>
      <c r="H38" s="26" t="n">
        <v>1</v>
      </c>
      <c r="I38" s="26" t="n">
        <v>1</v>
      </c>
      <c r="J38" s="26" t="n">
        <v>1</v>
      </c>
      <c r="K38" s="24" t="n">
        <f aca="false">MIN(F38:J38)</f>
        <v>1</v>
      </c>
      <c r="L38" s="24" t="n">
        <f aca="false">MAX(F38:J38)</f>
        <v>1</v>
      </c>
      <c r="M38" s="24" t="n">
        <f aca="false">L38-K38</f>
        <v>0</v>
      </c>
    </row>
    <row r="39" customFormat="false" ht="15" hidden="false" customHeight="false" outlineLevel="0" collapsed="false">
      <c r="A39" s="24" t="s">
        <v>170</v>
      </c>
      <c r="B39" s="25" t="s">
        <v>127</v>
      </c>
      <c r="C39" s="24" t="s">
        <v>164</v>
      </c>
      <c r="D39" s="25" t="s">
        <v>165</v>
      </c>
      <c r="E39" s="26" t="n">
        <v>0</v>
      </c>
      <c r="F39" s="26" t="n">
        <v>1</v>
      </c>
      <c r="G39" s="26" t="n">
        <v>1</v>
      </c>
      <c r="H39" s="26" t="n">
        <v>1</v>
      </c>
      <c r="I39" s="26" t="n">
        <v>1</v>
      </c>
      <c r="J39" s="26" t="n">
        <v>1</v>
      </c>
      <c r="K39" s="24" t="n">
        <f aca="false">MIN(F39:J39)</f>
        <v>1</v>
      </c>
      <c r="L39" s="24" t="n">
        <f aca="false">MAX(F39:J39)</f>
        <v>1</v>
      </c>
      <c r="M39" s="24" t="n">
        <f aca="false">L39-K39</f>
        <v>0</v>
      </c>
      <c r="O39" s="7" t="s">
        <v>171</v>
      </c>
      <c r="P39" s="7" t="s">
        <v>172</v>
      </c>
      <c r="Q39" s="7" t="s">
        <v>173</v>
      </c>
    </row>
    <row r="40" customFormat="false" ht="15" hidden="false" customHeight="false" outlineLevel="0" collapsed="false">
      <c r="A40" s="24" t="s">
        <v>174</v>
      </c>
      <c r="B40" s="25" t="s">
        <v>136</v>
      </c>
      <c r="C40" s="24" t="s">
        <v>164</v>
      </c>
      <c r="D40" s="25" t="s">
        <v>165</v>
      </c>
      <c r="E40" s="26" t="n">
        <v>0</v>
      </c>
      <c r="F40" s="26" t="n">
        <v>1</v>
      </c>
      <c r="G40" s="26" t="n">
        <v>1</v>
      </c>
      <c r="H40" s="26" t="n">
        <v>1</v>
      </c>
      <c r="I40" s="26" t="n">
        <v>1</v>
      </c>
      <c r="J40" s="26" t="n">
        <v>1</v>
      </c>
      <c r="K40" s="24" t="n">
        <f aca="false">MIN(F40:J40)</f>
        <v>1</v>
      </c>
      <c r="L40" s="24" t="n">
        <f aca="false">MAX(F40:J40)</f>
        <v>1</v>
      </c>
      <c r="M40" s="24" t="n">
        <f aca="false">L40-K40</f>
        <v>0</v>
      </c>
      <c r="O40" s="8" t="s">
        <v>175</v>
      </c>
      <c r="P40" s="12" t="n">
        <f aca="false">AVERAGE(P28:P37)</f>
        <v>0.965217391304348</v>
      </c>
      <c r="Q40" s="12" t="n">
        <f aca="false">AVERAGE(Q28:Q37)</f>
        <v>0.938461538461539</v>
      </c>
    </row>
    <row r="41" customFormat="false" ht="15" hidden="false" customHeight="false" outlineLevel="0" collapsed="false">
      <c r="D41" s="29" t="s">
        <v>178</v>
      </c>
      <c r="F41" s="13" t="n">
        <f aca="false">SUM(F5:F40)</f>
        <v>46</v>
      </c>
      <c r="G41" s="13" t="n">
        <f aca="false">SUM(G5:G40)</f>
        <v>46</v>
      </c>
      <c r="H41" s="13" t="n">
        <f aca="false">SUM(H5:H40)</f>
        <v>46</v>
      </c>
      <c r="I41" s="13" t="n">
        <f aca="false">SUM(I5:I40)</f>
        <v>46</v>
      </c>
      <c r="J41" s="13" t="n">
        <f aca="false">SUM(J5:J40)</f>
        <v>42</v>
      </c>
      <c r="K41" s="13" t="n">
        <f aca="false">SUM(K5:K40)</f>
        <v>42</v>
      </c>
      <c r="L41" s="13" t="n">
        <f aca="false">SUM(L5:L40)</f>
        <v>46</v>
      </c>
      <c r="O41" s="8" t="s">
        <v>177</v>
      </c>
      <c r="P41" s="12" t="n">
        <f aca="false">STDEV(P28:P37)</f>
        <v>0.0449041547386367</v>
      </c>
      <c r="Q41" s="12" t="n">
        <f aca="false">STDEV(Q28:Q37)</f>
        <v>0.0794458122298958</v>
      </c>
    </row>
    <row r="42" customFormat="false" ht="15" hidden="false" customHeight="false" outlineLevel="0" collapsed="false">
      <c r="D42" s="29" t="s">
        <v>180</v>
      </c>
      <c r="F42" s="13" t="n">
        <f aca="false">SUMPRODUCT($E$5:$E$40,F5:F40)</f>
        <v>26</v>
      </c>
      <c r="G42" s="13" t="n">
        <f aca="false">SUMPRODUCT($E$5:$E$40,G5:G40)</f>
        <v>26</v>
      </c>
      <c r="H42" s="13" t="n">
        <f aca="false">SUMPRODUCT($E$5:$E$40,H5:H40)</f>
        <v>26</v>
      </c>
      <c r="I42" s="13" t="n">
        <f aca="false">SUMPRODUCT($E$5:$E$40,I5:I40)</f>
        <v>26</v>
      </c>
      <c r="J42" s="13" t="n">
        <f aca="false">SUMPRODUCT($E$5:$E$40,J5:J40)</f>
        <v>22</v>
      </c>
      <c r="K42" s="13" t="n">
        <f aca="false">SUMPRODUCT($E$5:$E$40,K5:K40)</f>
        <v>22</v>
      </c>
      <c r="L42" s="13" t="n">
        <f aca="false">SUMPRODUCT($E$5:$E$40,L5:L40)</f>
        <v>26</v>
      </c>
      <c r="O42" s="8" t="s">
        <v>179</v>
      </c>
      <c r="P42" s="12" t="n">
        <f aca="false">MIN(P28:P37)</f>
        <v>0.91304347826087</v>
      </c>
      <c r="Q42" s="12" t="n">
        <f aca="false">MIN(Q28:Q37)</f>
        <v>0.846153846153846</v>
      </c>
    </row>
    <row r="43" customFormat="false" ht="15" hidden="false" customHeight="false" outlineLevel="0" collapsed="false">
      <c r="D43" s="29" t="s">
        <v>182</v>
      </c>
      <c r="F43" s="13" t="n">
        <f aca="false">COUNTIF(F5:F40,"&gt;0")</f>
        <v>36</v>
      </c>
      <c r="G43" s="13" t="n">
        <f aca="false">COUNTIF(G5:G40,"&gt;0")</f>
        <v>36</v>
      </c>
      <c r="H43" s="13" t="n">
        <f aca="false">COUNTIF(H5:H40,"&gt;0")</f>
        <v>36</v>
      </c>
      <c r="I43" s="13" t="n">
        <f aca="false">COUNTIF(I5:I40,"&gt;0")</f>
        <v>36</v>
      </c>
      <c r="J43" s="13" t="n">
        <f aca="false">COUNTIF(J5:J40,"&gt;0")</f>
        <v>36</v>
      </c>
      <c r="O43" s="8" t="s">
        <v>181</v>
      </c>
      <c r="P43" s="12" t="n">
        <f aca="false">MAX(P28:P37)</f>
        <v>1</v>
      </c>
      <c r="Q43" s="12" t="n">
        <f aca="false">MAX(Q28:Q37)</f>
        <v>1</v>
      </c>
    </row>
    <row r="44" customFormat="false" ht="15" hidden="false" customHeight="false" outlineLevel="0" collapsed="false">
      <c r="D44" s="29" t="s">
        <v>184</v>
      </c>
      <c r="F44" s="13" t="n">
        <f aca="false">COUNTIFS(F5:F40,"&gt;0",$E$5:$E$40,1)</f>
        <v>16</v>
      </c>
      <c r="G44" s="13" t="n">
        <f aca="false">COUNTIFS(G5:G40,"&gt;0",$E$5:$E$40,1)</f>
        <v>16</v>
      </c>
      <c r="H44" s="13" t="n">
        <f aca="false">COUNTIFS(H5:H40,"&gt;0",$E$5:$E$40,1)</f>
        <v>16</v>
      </c>
      <c r="I44" s="13" t="n">
        <f aca="false">COUNTIFS(I5:I40,"&gt;0",$E$5:$E$40,1)</f>
        <v>16</v>
      </c>
      <c r="J44" s="13" t="n">
        <f aca="false">COUNTIFS(J5:J40,"&gt;0",$E$5:$E$40,1)</f>
        <v>16</v>
      </c>
      <c r="O44" s="8" t="s">
        <v>183</v>
      </c>
      <c r="P44" s="12" t="n">
        <f aca="false">K41/L41</f>
        <v>0.91304347826087</v>
      </c>
      <c r="Q44" s="12" t="n">
        <f aca="false">K42/L42</f>
        <v>0.846153846153846</v>
      </c>
    </row>
    <row r="45" customFormat="false" ht="15" hidden="false" customHeight="false" outlineLevel="0" collapsed="false">
      <c r="O45" s="8" t="s">
        <v>185</v>
      </c>
      <c r="P45" s="30" t="n">
        <f aca="false">AVERAGE(F43:J43)</f>
        <v>36</v>
      </c>
      <c r="Q45" s="30" t="n">
        <f aca="false">AVERAGE(F44:J44)</f>
        <v>16</v>
      </c>
    </row>
    <row r="46" customFormat="false" ht="15" hidden="false" customHeight="false" outlineLevel="0" collapsed="false">
      <c r="O46" s="8" t="s">
        <v>186</v>
      </c>
      <c r="P46" s="30" t="n">
        <f aca="false">AVERAGE(F41:J41)</f>
        <v>45.2</v>
      </c>
      <c r="Q46" s="30" t="n">
        <f aca="false">AVERAGE(F42:J42)</f>
        <v>25.2</v>
      </c>
    </row>
  </sheetData>
  <conditionalFormatting sqref="A5:M40">
    <cfRule type="expression" priority="2" aboveAverage="0" equalAverage="0" bottom="0" percent="0" rank="0" text="" dxfId="0">
      <formula>$M5&gt;0</formula>
    </cfRule>
  </conditionalFormatting>
  <conditionalFormatting sqref="P13:T17">
    <cfRule type="colorScale" priority="3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1:T25">
    <cfRule type="colorScale" priority="4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28:Q37">
    <cfRule type="colorScale" priority="5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0:Q40">
    <cfRule type="colorScale" priority="6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conditionalFormatting sqref="P42:Q44">
    <cfRule type="colorScale" priority="7">
      <colorScale>
        <cfvo type="num" val="0.6"/>
        <cfvo type="num" val="0.8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2026-09-23T17:21:56Z</dcterms:created>
  <dc:creator>openpyxl</dc:creator>
  <dc:description/>
  <dc:language>en-US</dc:language>
  <cp:lastModifiedBy/>
  <dcterms:modified xsi:type="dcterms:W3CDTF">2026-09-23T17:22:03Z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