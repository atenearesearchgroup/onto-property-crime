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" sheetId="1" state="visible" r:id="rId3"/>
    <sheet name="Environment" sheetId="2" state="visible" r:id="rId4"/>
    <sheet name="Summary" sheetId="3" state="visible" r:id="rId5"/>
    <sheet name="LLM runs" sheetId="4" state="visible" r:id="rId6"/>
    <sheet name="Stages" sheetId="5" state="visible" r:id="rId7"/>
    <sheet name="Seq vs Pa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openai/chat-latest (OpenRouter)</t>
        </r>
      </text>
    </comment>
    <comment ref="H4" authorId="0">
      <text>
        <r>
          <rPr>
            <sz val="10"/>
            <rFont val="Arial"/>
            <family val="2"/>
          </rPr>
          <t xml:space="preserve">OpenAI GPT-5.2 mini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3" authorId="0">
      <text>
        <r>
          <rPr>
            <sz val="10"/>
            <rFont val="Arial"/>
            <family val="2"/>
          </rPr>
          <t xml:space="preserve">As recorded in the source sheet.</t>
        </r>
      </text>
    </comment>
    <comment ref="E23" authorId="0">
      <text>
        <r>
          <rPr>
            <sz val="10"/>
            <rFont val="Arial"/>
            <family val="2"/>
          </rPr>
          <t xml:space="preserve">Computed from the 4 JSON outputs of the parallel runs (jaccard_multiconjunto_json.py).</t>
        </r>
      </text>
    </comment>
  </commentList>
</comments>
</file>

<file path=xl/sharedStrings.xml><?xml version="1.0" encoding="utf-8"?>
<sst xmlns="http://schemas.openxmlformats.org/spreadsheetml/2006/main" count="207" uniqueCount="146">
  <si>
    <t xml:space="preserve">Method — performance study</t>
  </si>
  <si>
    <t xml:space="preserve">What is measured</t>
  </si>
  <si>
    <t xml:space="preserve">Execution time of each pipeline stage for the 6 reports processed 5 times each: (1) LLM extraction, (2) RDF generation, (3) TTLS generation, (4) import into Neo4j. For the LLM stage the workbook also records the number of LLM calls (split by model: M Chat and M mini), cache, prunings, and input/output tokens per run.</t>
  </si>
  <si>
    <t xml:space="preserve">An additional experiment compares sequential and parallel execution of report 5 (4 runs per mode) and checks that both modes give the same graph structure (multiset Jaccard J_w). Sequential: the 4 runs are executed one after another. Parallel: the 4 runs are launched simultaneously.</t>
  </si>
  <si>
    <t xml:space="preserve">Batch wall-clock time of the 4 runs: sequential = sum of the 4 run times (assumes no idle time between runs); parallel = time of the slowest run (assumes a common start). Throughput = 4 reports × 60 / batch time (reports per minute). Speed-up = sequential batch / parallel batch.</t>
  </si>
  <si>
    <t xml:space="preserve">Sources</t>
  </si>
  <si>
    <t xml:space="preserve">Rendimiento.xlsx (sheets LLM, RDF, TTLS, Neo4j, Secuencialidad y paralelismo). Pages and words: counted from the six .docx reports. J_w of the parallel runs: computed from their JSON outputs.</t>
  </si>
  <si>
    <t xml:space="preserve">Units and resolution</t>
  </si>
  <si>
    <t xml:space="preserve">Times are stored as Excel time values and converted to seconds with ×86 400. LLM, Neo4j and sequential/parallel times have a resolution of 1 s; RDF and TTLS times have a resolution of 1 ms.</t>
  </si>
  <si>
    <t xml:space="preserve">For RDF, TTLS and Neo4j only the per-report mean over the runs is available, so no dispersion can be computed for these stages.</t>
  </si>
  <si>
    <t xml:space="preserve">Derived indicators</t>
  </si>
  <si>
    <t xml:space="preserve">Seconds per LLM call = LLM time / LLM calls. Local stages = RDF + TTLS + Neo4j. End-to-end = LLM + local stages. LLM share = LLM time / end-to-end. CV = SD / mean.</t>
  </si>
  <si>
    <t xml:space="preserve">Colour legend</t>
  </si>
  <si>
    <t xml:space="preserve">Blue font = input values taken from the source files. Black font = formulas. Green font = links to another sheet.</t>
  </si>
  <si>
    <t xml:space="preserve">Notes on the source file</t>
  </si>
  <si>
    <t xml:space="preserve">In sheet TTLS of Rendimiento.xlsx the row labelled 'Promedio' used SUM instead of AVERAGE (it showed 0:34.318 instead of 0:05.720). This workbook recomputes the mean.</t>
  </si>
  <si>
    <t xml:space="preserve">In sheet LLM, runs 2 and 4 of report 3 report identical token counts (187 409 input / 5 788 output) with different times; worth checking that no row was duplicated.</t>
  </si>
  <si>
    <t xml:space="preserve">Test environment</t>
  </si>
  <si>
    <t xml:space="preserve">As described by the authors. No CPU or memory limits are declared in docker-compose.yml, so container resources are those granted by Docker Desktop on WSL2.</t>
  </si>
  <si>
    <t xml:space="preserve">Component</t>
  </si>
  <si>
    <t xml:space="preserve">Configuration</t>
  </si>
  <si>
    <t xml:space="preserve">Machine</t>
  </si>
  <si>
    <t xml:space="preserve">Processor</t>
  </si>
  <si>
    <t xml:space="preserve">Intel Core i3-1115G4 — 2 physical cores, 4 logical processors</t>
  </si>
  <si>
    <t xml:space="preserve">Physical memory</t>
  </si>
  <si>
    <t xml:space="preserve">8 GB RAM</t>
  </si>
  <si>
    <t xml:space="preserve">Virtualisation</t>
  </si>
  <si>
    <t xml:space="preserve">Docker Desktop on WSL2; no .wslconfig file, so WSL2 defaults apply (all logical processors, up to 50% of physical RAM)</t>
  </si>
  <si>
    <t xml:space="preserve">Resources available to Docker</t>
  </si>
  <si>
    <t xml:space="preserve">4 CPUs, 3.63 GB RAM</t>
  </si>
  <si>
    <t xml:space="preserve">Deployment (Docker Compose)</t>
  </si>
  <si>
    <t xml:space="preserve">backend</t>
  </si>
  <si>
    <t xml:space="preserve">FastAPI served by Uvicorn, single worker (no --workers flag)</t>
  </si>
  <si>
    <t xml:space="preserve">database</t>
  </si>
  <si>
    <t xml:space="preserve">Neo4j 5.25 with APOC and neosemantics plugins; heap size not set explicitly</t>
  </si>
  <si>
    <t xml:space="preserve">frontend</t>
  </si>
  <si>
    <t xml:space="preserve">Web front end</t>
  </si>
  <si>
    <t xml:space="preserve">Container limits</t>
  </si>
  <si>
    <t xml:space="preserve">None declared (no CPU or memory limits in docker-compose.yml)</t>
  </si>
  <si>
    <t xml:space="preserve">Language model</t>
  </si>
  <si>
    <t xml:space="preserve">Inference</t>
  </si>
  <si>
    <t xml:space="preserve">Remote, through the OpenRouter API — does not consume local resources</t>
  </si>
  <si>
    <t xml:space="preserve">M Chat (main model)</t>
  </si>
  <si>
    <t xml:space="preserve">openai/chat-latest — OpenAI's moving alias for the latest ChatGPT Instant chat model (the version behind the alias changes over time; recorded in the llm_model field of the outputs)</t>
  </si>
  <si>
    <t xml:space="preserve">M mini (lightweight model)</t>
  </si>
  <si>
    <t xml:space="preserve">OpenAI GPT-5.2 mini</t>
  </si>
  <si>
    <t xml:space="preserve">Execution modes (report 5 experiment)</t>
  </si>
  <si>
    <t xml:space="preserve">Sequential</t>
  </si>
  <si>
    <t xml:space="preserve">The 4 runs are executed one after another</t>
  </si>
  <si>
    <t xml:space="preserve">Parallel</t>
  </si>
  <si>
    <t xml:space="preserve">The 4 runs are launched simultaneously</t>
  </si>
  <si>
    <t xml:space="preserve">Summary — performance of the pipeline per report (5 runs each)</t>
  </si>
  <si>
    <t xml:space="preserve">All values are formulas reading the other sheets, except pages and words (blue), counted from the .docx reports. End-to-end = LLM + RDF + TTLS + Neo4j.</t>
  </si>
  <si>
    <t xml:space="preserve">Report</t>
  </si>
  <si>
    <t xml:space="preserve">Pages</t>
  </si>
  <si>
    <t xml:space="preserve">Words</t>
  </si>
  <si>
    <t xml:space="preserve">LLM calls (mean)</t>
  </si>
  <si>
    <t xml:space="preserve">Input tokens (mean)</t>
  </si>
  <si>
    <t xml:space="preserve">Output tokens (mean)</t>
  </si>
  <si>
    <t xml:space="preserve">LLM time mean (s)</t>
  </si>
  <si>
    <t xml:space="preserve">LLM time SD (s)</t>
  </si>
  <si>
    <t xml:space="preserve">LLM time CV</t>
  </si>
  <si>
    <t xml:space="preserve">Seconds per LLM call</t>
  </si>
  <si>
    <t xml:space="preserve">RDF (s)</t>
  </si>
  <si>
    <t xml:space="preserve">TTLS (s)</t>
  </si>
  <si>
    <t xml:space="preserve">Neo4j (s)</t>
  </si>
  <si>
    <t xml:space="preserve">Local stages (s)</t>
  </si>
  <si>
    <t xml:space="preserve">End-to-end (s)</t>
  </si>
  <si>
    <t xml:space="preserve">LLM share of end-to-end</t>
  </si>
  <si>
    <t xml:space="preserve">Rank words</t>
  </si>
  <si>
    <t xml:space="preserve">Rank LLM time</t>
  </si>
  <si>
    <t xml:space="preserve">Rank LLM calls</t>
  </si>
  <si>
    <t xml:space="preserve">Rank input tokens</t>
  </si>
  <si>
    <t xml:space="preserve">Report 1</t>
  </si>
  <si>
    <t xml:space="preserve">Report 2</t>
  </si>
  <si>
    <t xml:space="preserve">Report 3</t>
  </si>
  <si>
    <t xml:space="preserve">Report 4</t>
  </si>
  <si>
    <t xml:space="preserve">Report 5</t>
  </si>
  <si>
    <t xml:space="preserve">Report 6</t>
  </si>
  <si>
    <t xml:space="preserve">All reports</t>
  </si>
  <si>
    <t xml:space="preserve">Row 'All reports': pages and words are totals; seconds per call and LLM share are aggregate ratios (Σ time / Σ calls, Σ LLM / Σ end-to-end); the rest are means of the six reports.</t>
  </si>
  <si>
    <t xml:space="preserve">Correlations</t>
  </si>
  <si>
    <t xml:space="preserve">Spearman ρ (6 reports): LLM time vs words</t>
  </si>
  <si>
    <t xml:space="preserve">Spearman ρ (6 reports): LLM time vs LLM calls</t>
  </si>
  <si>
    <t xml:space="preserve">Spearman ρ (6 reports): LLM time vs input tokens</t>
  </si>
  <si>
    <t xml:space="preserve">Spearman ρ (6 reports): LLM calls vs words</t>
  </si>
  <si>
    <t xml:space="preserve">Pearson r (30 runs): LLM time vs LLM calls</t>
  </si>
  <si>
    <t xml:space="preserve">Pearson r (30 runs): LLM time vs input tokens</t>
  </si>
  <si>
    <t xml:space="preserve">Pearson r (30 runs): LLM time vs output tokens</t>
  </si>
  <si>
    <t xml:space="preserve">Spearman ρ = Pearson correlation of the ranks (no ties in these columns). With n = 6 these values are descriptive.</t>
  </si>
  <si>
    <t xml:space="preserve">LLM extraction — 30 runs (6 reports × 5 runs)</t>
  </si>
  <si>
    <t xml:space="preserve">Blue = values from Rendimiento.xlsx (sheet LLM). Black = formulas. Time is stored as an Excel time value and converted to seconds (× 86 400).</t>
  </si>
  <si>
    <t xml:space="preserve">Report #</t>
  </si>
  <si>
    <t xml:space="preserve">Run</t>
  </si>
  <si>
    <t xml:space="preserve">LLM calls</t>
  </si>
  <si>
    <t xml:space="preserve">Cache</t>
  </si>
  <si>
    <t xml:space="preserve">Prunings (Podas)</t>
  </si>
  <si>
    <t xml:space="preserve">M Chat calls</t>
  </si>
  <si>
    <t xml:space="preserve">M mini calls</t>
  </si>
  <si>
    <t xml:space="preserve">Input tokens</t>
  </si>
  <si>
    <t xml:space="preserve">Output tokens</t>
  </si>
  <si>
    <t xml:space="preserve">LLM time (h:mm:ss)</t>
  </si>
  <si>
    <t xml:space="preserve">LLM time (s)</t>
  </si>
  <si>
    <t xml:space="preserve">Input tokens per call</t>
  </si>
  <si>
    <t xml:space="preserve">Check: calls = Chat + mini</t>
  </si>
  <si>
    <t xml:space="preserve">x (report, offset by run)</t>
  </si>
  <si>
    <t xml:space="preserve">Per-report statistics over the 5 runs</t>
  </si>
  <si>
    <t xml:space="preserve">Mean LLM time (s)</t>
  </si>
  <si>
    <t xml:space="preserve">SD (s)</t>
  </si>
  <si>
    <t xml:space="preserve">CV</t>
  </si>
  <si>
    <t xml:space="preserve">Min (s)</t>
  </si>
  <si>
    <t xml:space="preserve">Max (s)</t>
  </si>
  <si>
    <t xml:space="preserve">Mean LLM calls</t>
  </si>
  <si>
    <t xml:space="preserve">Mean input tokens</t>
  </si>
  <si>
    <t xml:space="preserve">CV input tokens</t>
  </si>
  <si>
    <t xml:space="preserve">Mean output tokens</t>
  </si>
  <si>
    <t xml:space="preserve">Mean s per call</t>
  </si>
  <si>
    <t xml:space="preserve">All 30 runs</t>
  </si>
  <si>
    <t xml:space="preserve">Pearson correlation with LLM time over the 30 runs</t>
  </si>
  <si>
    <t xml:space="preserve">Local pipeline stages — mean time per report</t>
  </si>
  <si>
    <t xml:space="preserve">Blue = values from Rendimiento.xlsx (sheets RDF, TTLS, Neo4j; one mean per report). The mean row is recomputed here with AVERAGE: in the source file the TTLS 'Promedio' cell used SUM.</t>
  </si>
  <si>
    <t xml:space="preserve">RDF generation (mm:ss.000)</t>
  </si>
  <si>
    <t xml:space="preserve">TTLS generation (mm:ss.000)</t>
  </si>
  <si>
    <t xml:space="preserve">Neo4j import (h:mm:ss)</t>
  </si>
  <si>
    <t xml:space="preserve">Mean of the 6 reports</t>
  </si>
  <si>
    <t xml:space="preserve">Report 5 — sequential vs parallel execution (4 runs per mode; parallel = launched simultaneously)</t>
  </si>
  <si>
    <t xml:space="preserve">Blue = values from Rendimiento.xlsx (sheet 'Secuencialidad y paralelismo'). The J_w values are the multiset Jaccard over the runs of each mode.</t>
  </si>
  <si>
    <t xml:space="preserve">Sequential (h:mm:ss)</t>
  </si>
  <si>
    <t xml:space="preserve">Parallel (h:mm:ss)</t>
  </si>
  <si>
    <t xml:space="preserve">Sequential (s)</t>
  </si>
  <si>
    <t xml:space="preserve">Parallel (s)</t>
  </si>
  <si>
    <t xml:space="preserve">Difference seq − par (s)</t>
  </si>
  <si>
    <t xml:space="preserve">R1</t>
  </si>
  <si>
    <t xml:space="preserve">R2</t>
  </si>
  <si>
    <t xml:space="preserve">R3</t>
  </si>
  <si>
    <t xml:space="preserve">R4</t>
  </si>
  <si>
    <t xml:space="preserve">Mean (s)</t>
  </si>
  <si>
    <t xml:space="preserve">Sum of the 4 runs (s)</t>
  </si>
  <si>
    <t xml:space="preserve">Reduction of the mean time (parallel vs sequential)</t>
  </si>
  <si>
    <t xml:space="preserve">Welch t-test, two-sided p-value (TTEST type 3)</t>
  </si>
  <si>
    <t xml:space="preserve">Batch wall-clock time for the 4 runs (s)</t>
  </si>
  <si>
    <t xml:space="preserve">Throughput (reports per minute)</t>
  </si>
  <si>
    <t xml:space="preserve">Speed-up of the batch (sequential / parallel)</t>
  </si>
  <si>
    <t xml:space="preserve">Multiset Jaccard J_w over the 4 runs</t>
  </si>
  <si>
    <t xml:space="preserve">Sequential: As recorded in the source sheet.  Parallel: Computed from the 4 JSON outputs of the parallel runs (jaccard_multiconjunto_json.py).</t>
  </si>
  <si>
    <t xml:space="preserve">Batch time: sequential = sum of the 4 runs (no idle time assumed); parallel = slowest run (the 4 runs were launched simultaneously).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</si>
</sst>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"/>
    <numFmt numFmtId="167" formatCode="0.0"/>
    <numFmt numFmtId="168" formatCode="0.0%"/>
    <numFmt numFmtId="169" formatCode="0.00"/>
    <numFmt numFmtId="170" formatCode="0.000"/>
    <numFmt numFmtId="171" formatCode="0%"/>
    <numFmt numFmtId="172" formatCode="h:mm:ss"/>
    <numFmt numFmtId="173" formatCode="mm:ss.000"/>
    <numFmt numFmtId="174" formatCode="0.00\×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sz val="10"/>
      <name val="Courier New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305496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78787"/>
      <rgbColor rgb="FF9999FF"/>
      <rgbColor rgb="FF7030A0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BF8F00"/>
      <rgbColor rgb="FFC55A11"/>
      <rgbColor rgb="FF8064A2"/>
      <rgbColor rgb="FF969696"/>
      <rgbColor rgb="FF1F3864"/>
      <rgbColor rgb="FF4F81BD"/>
      <rgbColor rgb="FF003300"/>
      <rgbColor rgb="FF333300"/>
      <rgbColor rgb="FF993300"/>
      <rgbColor rgb="FFC0504D"/>
      <rgbColor rgb="FF305496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end-to-end time per report, by stage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"LLM extraction"</c:f>
              <c:strCache>
                <c:ptCount val="1"/>
                <c:pt idx="0">
                  <c:v>LLM extraction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Summary!$G$5:$G$10</c:f>
              <c:numCache>
                <c:formatCode>0.0</c:formatCode>
                <c:ptCount val="6"/>
                <c:pt idx="0">
                  <c:v>240.6</c:v>
                </c:pt>
                <c:pt idx="1">
                  <c:v>74.2</c:v>
                </c:pt>
                <c:pt idx="2">
                  <c:v>97.4</c:v>
                </c:pt>
                <c:pt idx="3">
                  <c:v>146.4</c:v>
                </c:pt>
                <c:pt idx="4">
                  <c:v>64.2</c:v>
                </c:pt>
                <c:pt idx="5">
                  <c:v>69.8</c:v>
                </c:pt>
              </c:numCache>
            </c:numRef>
          </c:val>
        </c:ser>
        <c:ser>
          <c:idx val="1"/>
          <c:order val="1"/>
          <c:tx>
            <c:strRef>
              <c:f>"RDF generation"</c:f>
              <c:strCache>
                <c:ptCount val="1"/>
                <c:pt idx="0">
                  <c:v>RDF generation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Summary!$K$5:$K$10</c:f>
              <c:numCache>
                <c:formatCode>0.000</c:formatCode>
                <c:ptCount val="6"/>
                <c:pt idx="0">
                  <c:v>0.071</c:v>
                </c:pt>
                <c:pt idx="1">
                  <c:v>0.025</c:v>
                </c:pt>
                <c:pt idx="2">
                  <c:v>0.069</c:v>
                </c:pt>
                <c:pt idx="3">
                  <c:v>0.032</c:v>
                </c:pt>
                <c:pt idx="4">
                  <c:v>0.007</c:v>
                </c:pt>
                <c:pt idx="5">
                  <c:v>0.028</c:v>
                </c:pt>
              </c:numCache>
            </c:numRef>
          </c:val>
        </c:ser>
        <c:ser>
          <c:idx val="2"/>
          <c:order val="2"/>
          <c:tx>
            <c:strRef>
              <c:f>"TTLS generation"</c:f>
              <c:strCache>
                <c:ptCount val="1"/>
                <c:pt idx="0">
                  <c:v>TTLS generation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Summary!$L$5:$L$10</c:f>
              <c:numCache>
                <c:formatCode>0.00</c:formatCode>
                <c:ptCount val="6"/>
                <c:pt idx="0">
                  <c:v>3.996</c:v>
                </c:pt>
                <c:pt idx="1">
                  <c:v>4.352</c:v>
                </c:pt>
                <c:pt idx="2">
                  <c:v>8.598</c:v>
                </c:pt>
                <c:pt idx="3">
                  <c:v>6.515</c:v>
                </c:pt>
                <c:pt idx="4">
                  <c:v>3.053</c:v>
                </c:pt>
                <c:pt idx="5">
                  <c:v>7.804</c:v>
                </c:pt>
              </c:numCache>
            </c:numRef>
          </c:val>
        </c:ser>
        <c:ser>
          <c:idx val="3"/>
          <c:order val="3"/>
          <c:tx>
            <c:strRef>
              <c:f>"Neo4j import"</c:f>
              <c:strCache>
                <c:ptCount val="1"/>
                <c:pt idx="0">
                  <c:v>Neo4j import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Summary!$M$5:$M$10</c:f>
              <c:numCache>
                <c:formatCode>0</c:formatCode>
                <c:ptCount val="6"/>
                <c:pt idx="0">
                  <c:v>21</c:v>
                </c:pt>
                <c:pt idx="1">
                  <c:v>8</c:v>
                </c:pt>
                <c:pt idx="2">
                  <c:v>14</c:v>
                </c:pt>
                <c:pt idx="3">
                  <c:v>12</c:v>
                </c:pt>
                <c:pt idx="4">
                  <c:v>6</c:v>
                </c:pt>
                <c:pt idx="5">
                  <c:v>7</c:v>
                </c:pt>
              </c:numCache>
            </c:numRef>
          </c:val>
        </c:ser>
        <c:gapWidth val="150"/>
        <c:overlap val="100"/>
        <c:axId val="83006062"/>
        <c:axId val="1641200"/>
      </c:barChart>
      <c:catAx>
        <c:axId val="83006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1200"/>
        <c:crosses val="autoZero"/>
        <c:auto val="1"/>
        <c:lblAlgn val="ctr"/>
        <c:lblOffset val="100"/>
        <c:noMultiLvlLbl val="0"/>
      </c:catAx>
      <c:valAx>
        <c:axId val="1641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06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LLM share of end-to-end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Summary!P4</c:f>
              <c:strCache>
                <c:ptCount val="1"/>
                <c:pt idx="0">
                  <c:v>LLM share of end-to-end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Report 1</c:v>
                </c:pt>
                <c:pt idx="1">
                  <c:v>Report 2</c:v>
                </c:pt>
                <c:pt idx="2">
                  <c:v>Report 3</c:v>
                </c:pt>
                <c:pt idx="3">
                  <c:v>Report 4</c:v>
                </c:pt>
                <c:pt idx="4">
                  <c:v>Report 5</c:v>
                </c:pt>
                <c:pt idx="5">
                  <c:v>Report 6</c:v>
                </c:pt>
              </c:strCache>
            </c:strRef>
          </c:cat>
          <c:val>
            <c:numRef>
              <c:f>Summary!$P$5:$P$10</c:f>
              <c:numCache>
                <c:formatCode>0.0%</c:formatCode>
                <c:ptCount val="6"/>
                <c:pt idx="0">
                  <c:v>0.905645036831823</c:v>
                </c:pt>
                <c:pt idx="1">
                  <c:v>0.857040553495732</c:v>
                </c:pt>
                <c:pt idx="2">
                  <c:v>0.811213738995727</c:v>
                </c:pt>
                <c:pt idx="3">
                  <c:v>0.887557821603303</c:v>
                </c:pt>
                <c:pt idx="4">
                  <c:v>0.876330876330876</c:v>
                </c:pt>
                <c:pt idx="5">
                  <c:v>0.82474714056149</c:v>
                </c:pt>
              </c:numCache>
            </c:numRef>
          </c:val>
        </c:ser>
        <c:gapWidth val="150"/>
        <c:overlap val="0"/>
        <c:axId val="1915308"/>
        <c:axId val="48254613"/>
      </c:barChart>
      <c:catAx>
        <c:axId val="19153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254613"/>
        <c:crosses val="autoZero"/>
        <c:auto val="1"/>
        <c:lblAlgn val="ctr"/>
        <c:lblOffset val="100"/>
        <c:noMultiLvlLbl val="0"/>
      </c:catAx>
      <c:valAx>
        <c:axId val="4825461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153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LLM time vs number of LLM calls (30 runs)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"Report 1"</c:f>
              <c:strCache>
                <c:ptCount val="1"/>
                <c:pt idx="0">
                  <c:v>Report 1</c:v>
                </c:pt>
              </c:strCache>
            </c:strRef>
          </c:tx>
          <c:spPr>
            <a:solidFill>
              <a:srgbClr val="30549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3054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runs'!$D$5:$D$9</c:f>
              <c:numCache>
                <c:formatCode>General</c:formatCode>
                <c:ptCount val="5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60</c:v>
                </c:pt>
                <c:pt idx="4">
                  <c:v>67</c:v>
                </c:pt>
              </c:numCache>
            </c:numRef>
          </c:xVal>
          <c:yVal>
            <c:numRef>
              <c:f>'LLM runs'!$L$5:$L$9</c:f>
              <c:numCache>
                <c:formatCode>0</c:formatCode>
                <c:ptCount val="5"/>
                <c:pt idx="0">
                  <c:v>181</c:v>
                </c:pt>
                <c:pt idx="1">
                  <c:v>275</c:v>
                </c:pt>
                <c:pt idx="2">
                  <c:v>243</c:v>
                </c:pt>
                <c:pt idx="3">
                  <c:v>218</c:v>
                </c:pt>
                <c:pt idx="4">
                  <c:v>286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"Report 2"</c:f>
              <c:strCache>
                <c:ptCount val="1"/>
                <c:pt idx="0">
                  <c:v>Report 2</c:v>
                </c:pt>
              </c:strCache>
            </c:strRef>
          </c:tx>
          <c:spPr>
            <a:solidFill>
              <a:srgbClr val="c55a11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runs'!$D$10:$D$14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17</c:v>
                </c:pt>
                <c:pt idx="4">
                  <c:v>24</c:v>
                </c:pt>
              </c:numCache>
            </c:numRef>
          </c:xVal>
          <c:yVal>
            <c:numRef>
              <c:f>'LLM runs'!$L$10:$L$14</c:f>
              <c:numCache>
                <c:formatCode>0</c:formatCode>
                <c:ptCount val="5"/>
                <c:pt idx="0">
                  <c:v>69</c:v>
                </c:pt>
                <c:pt idx="1">
                  <c:v>91</c:v>
                </c:pt>
                <c:pt idx="2">
                  <c:v>78</c:v>
                </c:pt>
                <c:pt idx="3">
                  <c:v>53</c:v>
                </c:pt>
                <c:pt idx="4">
                  <c:v>80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"Report 3"</c:f>
              <c:strCache>
                <c:ptCount val="1"/>
                <c:pt idx="0">
                  <c:v>Report 3</c:v>
                </c:pt>
              </c:strCache>
            </c:strRef>
          </c:tx>
          <c:spPr>
            <a:solidFill>
              <a:srgbClr val="548235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runs'!$D$15:$D$19</c:f>
              <c:numCache>
                <c:formatCode>General</c:formatCode>
                <c:ptCount val="5"/>
                <c:pt idx="0">
                  <c:v>27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</c:numCache>
            </c:numRef>
          </c:xVal>
          <c:yVal>
            <c:numRef>
              <c:f>'LLM runs'!$L$15:$L$19</c:f>
              <c:numCache>
                <c:formatCode>0</c:formatCode>
                <c:ptCount val="5"/>
                <c:pt idx="0">
                  <c:v>81</c:v>
                </c:pt>
                <c:pt idx="1">
                  <c:v>108</c:v>
                </c:pt>
                <c:pt idx="2">
                  <c:v>109</c:v>
                </c:pt>
                <c:pt idx="3">
                  <c:v>98</c:v>
                </c:pt>
                <c:pt idx="4">
                  <c:v>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"Report 4"</c:f>
              <c:strCache>
                <c:ptCount val="1"/>
                <c:pt idx="0">
                  <c:v>Report 4</c:v>
                </c:pt>
              </c:strCache>
            </c:strRef>
          </c:tx>
          <c:spPr>
            <a:solidFill>
              <a:srgbClr val="7030a0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runs'!$D$20:$D$24</c:f>
              <c:numCache>
                <c:formatCode>General</c:formatCode>
                <c:ptCount val="5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xVal>
          <c:yVal>
            <c:numRef>
              <c:f>'LLM runs'!$L$20:$L$24</c:f>
              <c:numCache>
                <c:formatCode>0</c:formatCode>
                <c:ptCount val="5"/>
                <c:pt idx="0">
                  <c:v>163</c:v>
                </c:pt>
                <c:pt idx="1">
                  <c:v>123</c:v>
                </c:pt>
                <c:pt idx="2">
                  <c:v>155</c:v>
                </c:pt>
                <c:pt idx="3">
                  <c:v>145</c:v>
                </c:pt>
                <c:pt idx="4">
                  <c:v>146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"Report 5"</c:f>
              <c:strCache>
                <c:ptCount val="1"/>
                <c:pt idx="0">
                  <c:v>Report 5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runs'!$D$25:$D$29</c:f>
              <c:numCache>
                <c:formatCode>General</c:formatCode>
                <c:ptCount val="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</c:numCache>
            </c:numRef>
          </c:xVal>
          <c:yVal>
            <c:numRef>
              <c:f>'LLM runs'!$L$25:$L$29</c:f>
              <c:numCache>
                <c:formatCode>0</c:formatCode>
                <c:ptCount val="5"/>
                <c:pt idx="0">
                  <c:v>49</c:v>
                </c:pt>
                <c:pt idx="1">
                  <c:v>72</c:v>
                </c:pt>
                <c:pt idx="2">
                  <c:v>66</c:v>
                </c:pt>
                <c:pt idx="3">
                  <c:v>62</c:v>
                </c:pt>
                <c:pt idx="4">
                  <c:v>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"Report 6"</c:f>
              <c:strCache>
                <c:ptCount val="1"/>
                <c:pt idx="0">
                  <c:v>Report 6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runs'!$D$30:$D$34</c:f>
              <c:numCache>
                <c:formatCode>General</c:formatCode>
                <c:ptCount val="5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</c:numCache>
            </c:numRef>
          </c:xVal>
          <c:yVal>
            <c:numRef>
              <c:f>'LLM runs'!$L$30:$L$34</c:f>
              <c:numCache>
                <c:formatCode>0</c:formatCode>
                <c:ptCount val="5"/>
                <c:pt idx="0">
                  <c:v>61</c:v>
                </c:pt>
                <c:pt idx="1">
                  <c:v>69</c:v>
                </c:pt>
                <c:pt idx="2">
                  <c:v>67</c:v>
                </c:pt>
                <c:pt idx="3">
                  <c:v>88</c:v>
                </c:pt>
                <c:pt idx="4">
                  <c:v>64</c:v>
                </c:pt>
              </c:numCache>
            </c:numRef>
          </c:yVal>
          <c:smooth val="1"/>
        </c:ser>
        <c:axId val="8061214"/>
        <c:axId val="73909108"/>
      </c:scatterChart>
      <c:valAx>
        <c:axId val="8061214"/>
        <c:scaling>
          <c:orientation val="minMax"/>
          <c:max val="7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LLM calls per run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09108"/>
        <c:crosses val="autoZero"/>
        <c:crossBetween val="midCat"/>
      </c:valAx>
      <c:valAx>
        <c:axId val="73909108"/>
        <c:scaling>
          <c:orientation val="minMax"/>
          <c:max val="3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LLM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121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LLM time per run, by report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"Report 1"</c:f>
              <c:strCache>
                <c:ptCount val="1"/>
                <c:pt idx="0">
                  <c:v>Report 1</c:v>
                </c:pt>
              </c:strCache>
            </c:strRef>
          </c:tx>
          <c:spPr>
            <a:solidFill>
              <a:srgbClr val="30549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30549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runs'!$P$5:$P$9</c:f>
              <c:numCache>
                <c:formatCode>0.00</c:formatCode>
                <c:ptCount val="5"/>
                <c:pt idx="0">
                  <c:v>0.84</c:v>
                </c:pt>
                <c:pt idx="1">
                  <c:v>0.92</c:v>
                </c:pt>
                <c:pt idx="2">
                  <c:v>1</c:v>
                </c:pt>
                <c:pt idx="3">
                  <c:v>1.08</c:v>
                </c:pt>
                <c:pt idx="4">
                  <c:v>1.16</c:v>
                </c:pt>
              </c:numCache>
            </c:numRef>
          </c:xVal>
          <c:yVal>
            <c:numRef>
              <c:f>'LLM runs'!$L$5:$L$9</c:f>
              <c:numCache>
                <c:formatCode>0</c:formatCode>
                <c:ptCount val="5"/>
                <c:pt idx="0">
                  <c:v>181</c:v>
                </c:pt>
                <c:pt idx="1">
                  <c:v>275</c:v>
                </c:pt>
                <c:pt idx="2">
                  <c:v>243</c:v>
                </c:pt>
                <c:pt idx="3">
                  <c:v>218</c:v>
                </c:pt>
                <c:pt idx="4">
                  <c:v>286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"Report 2"</c:f>
              <c:strCache>
                <c:ptCount val="1"/>
                <c:pt idx="0">
                  <c:v>Report 2</c:v>
                </c:pt>
              </c:strCache>
            </c:strRef>
          </c:tx>
          <c:spPr>
            <a:solidFill>
              <a:srgbClr val="c55a11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runs'!$P$10:$P$14</c:f>
              <c:numCache>
                <c:formatCode>0.00</c:formatCode>
                <c:ptCount val="5"/>
                <c:pt idx="0">
                  <c:v>1.84</c:v>
                </c:pt>
                <c:pt idx="1">
                  <c:v>1.92</c:v>
                </c:pt>
                <c:pt idx="2">
                  <c:v>2</c:v>
                </c:pt>
                <c:pt idx="3">
                  <c:v>2.08</c:v>
                </c:pt>
                <c:pt idx="4">
                  <c:v>2.16</c:v>
                </c:pt>
              </c:numCache>
            </c:numRef>
          </c:xVal>
          <c:yVal>
            <c:numRef>
              <c:f>'LLM runs'!$L$10:$L$14</c:f>
              <c:numCache>
                <c:formatCode>0</c:formatCode>
                <c:ptCount val="5"/>
                <c:pt idx="0">
                  <c:v>69</c:v>
                </c:pt>
                <c:pt idx="1">
                  <c:v>91</c:v>
                </c:pt>
                <c:pt idx="2">
                  <c:v>78</c:v>
                </c:pt>
                <c:pt idx="3">
                  <c:v>53</c:v>
                </c:pt>
                <c:pt idx="4">
                  <c:v>80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"Report 3"</c:f>
              <c:strCache>
                <c:ptCount val="1"/>
                <c:pt idx="0">
                  <c:v>Report 3</c:v>
                </c:pt>
              </c:strCache>
            </c:strRef>
          </c:tx>
          <c:spPr>
            <a:solidFill>
              <a:srgbClr val="548235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runs'!$P$15:$P$19</c:f>
              <c:numCache>
                <c:formatCode>0.00</c:formatCode>
                <c:ptCount val="5"/>
                <c:pt idx="0">
                  <c:v>2.84</c:v>
                </c:pt>
                <c:pt idx="1">
                  <c:v>2.92</c:v>
                </c:pt>
                <c:pt idx="2">
                  <c:v>3</c:v>
                </c:pt>
                <c:pt idx="3">
                  <c:v>3.08</c:v>
                </c:pt>
                <c:pt idx="4">
                  <c:v>3.16</c:v>
                </c:pt>
              </c:numCache>
            </c:numRef>
          </c:xVal>
          <c:yVal>
            <c:numRef>
              <c:f>'LLM runs'!$L$15:$L$19</c:f>
              <c:numCache>
                <c:formatCode>0</c:formatCode>
                <c:ptCount val="5"/>
                <c:pt idx="0">
                  <c:v>81</c:v>
                </c:pt>
                <c:pt idx="1">
                  <c:v>108</c:v>
                </c:pt>
                <c:pt idx="2">
                  <c:v>109</c:v>
                </c:pt>
                <c:pt idx="3">
                  <c:v>98</c:v>
                </c:pt>
                <c:pt idx="4">
                  <c:v>91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"Report 4"</c:f>
              <c:strCache>
                <c:ptCount val="1"/>
                <c:pt idx="0">
                  <c:v>Report 4</c:v>
                </c:pt>
              </c:strCache>
            </c:strRef>
          </c:tx>
          <c:spPr>
            <a:solidFill>
              <a:srgbClr val="7030a0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runs'!$P$20:$P$24</c:f>
              <c:numCache>
                <c:formatCode>0.00</c:formatCode>
                <c:ptCount val="5"/>
                <c:pt idx="0">
                  <c:v>3.84</c:v>
                </c:pt>
                <c:pt idx="1">
                  <c:v>3.92</c:v>
                </c:pt>
                <c:pt idx="2">
                  <c:v>4</c:v>
                </c:pt>
                <c:pt idx="3">
                  <c:v>4.08</c:v>
                </c:pt>
                <c:pt idx="4">
                  <c:v>4.16</c:v>
                </c:pt>
              </c:numCache>
            </c:numRef>
          </c:xVal>
          <c:yVal>
            <c:numRef>
              <c:f>'LLM runs'!$L$20:$L$24</c:f>
              <c:numCache>
                <c:formatCode>0</c:formatCode>
                <c:ptCount val="5"/>
                <c:pt idx="0">
                  <c:v>163</c:v>
                </c:pt>
                <c:pt idx="1">
                  <c:v>123</c:v>
                </c:pt>
                <c:pt idx="2">
                  <c:v>155</c:v>
                </c:pt>
                <c:pt idx="3">
                  <c:v>145</c:v>
                </c:pt>
                <c:pt idx="4">
                  <c:v>146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"Report 5"</c:f>
              <c:strCache>
                <c:ptCount val="1"/>
                <c:pt idx="0">
                  <c:v>Report 5</c:v>
                </c:pt>
              </c:strCache>
            </c:strRef>
          </c:tx>
          <c:spPr>
            <a:solidFill>
              <a:srgbClr val="bf8f00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runs'!$P$25:$P$29</c:f>
              <c:numCache>
                <c:formatCode>0.00</c:formatCode>
                <c:ptCount val="5"/>
                <c:pt idx="0">
                  <c:v>4.84</c:v>
                </c:pt>
                <c:pt idx="1">
                  <c:v>4.92</c:v>
                </c:pt>
                <c:pt idx="2">
                  <c:v>5</c:v>
                </c:pt>
                <c:pt idx="3">
                  <c:v>5.08</c:v>
                </c:pt>
                <c:pt idx="4">
                  <c:v>5.16</c:v>
                </c:pt>
              </c:numCache>
            </c:numRef>
          </c:xVal>
          <c:yVal>
            <c:numRef>
              <c:f>'LLM runs'!$L$25:$L$29</c:f>
              <c:numCache>
                <c:formatCode>0</c:formatCode>
                <c:ptCount val="5"/>
                <c:pt idx="0">
                  <c:v>49</c:v>
                </c:pt>
                <c:pt idx="1">
                  <c:v>72</c:v>
                </c:pt>
                <c:pt idx="2">
                  <c:v>66</c:v>
                </c:pt>
                <c:pt idx="3">
                  <c:v>62</c:v>
                </c:pt>
                <c:pt idx="4">
                  <c:v>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"Report 6"</c:f>
              <c:strCache>
                <c:ptCount val="1"/>
                <c:pt idx="0">
                  <c:v>Report 6</c:v>
                </c:pt>
              </c:strCache>
            </c:strRef>
          </c:tx>
          <c:spPr>
            <a:solidFill>
              <a:srgbClr val="2e75b6"/>
            </a:solidFill>
            <a:ln w="47520">
              <a:noFill/>
            </a:ln>
          </c:spPr>
          <c:marker>
            <c:symbol val="circle"/>
            <c:size val="8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'LLM runs'!$P$30:$P$34</c:f>
              <c:numCache>
                <c:formatCode>0.00</c:formatCode>
                <c:ptCount val="5"/>
                <c:pt idx="0">
                  <c:v>5.84</c:v>
                </c:pt>
                <c:pt idx="1">
                  <c:v>5.92</c:v>
                </c:pt>
                <c:pt idx="2">
                  <c:v>6</c:v>
                </c:pt>
                <c:pt idx="3">
                  <c:v>6.08</c:v>
                </c:pt>
                <c:pt idx="4">
                  <c:v>6.16</c:v>
                </c:pt>
              </c:numCache>
            </c:numRef>
          </c:xVal>
          <c:yVal>
            <c:numRef>
              <c:f>'LLM runs'!$L$30:$L$34</c:f>
              <c:numCache>
                <c:formatCode>0</c:formatCode>
                <c:ptCount val="5"/>
                <c:pt idx="0">
                  <c:v>61</c:v>
                </c:pt>
                <c:pt idx="1">
                  <c:v>69</c:v>
                </c:pt>
                <c:pt idx="2">
                  <c:v>67</c:v>
                </c:pt>
                <c:pt idx="3">
                  <c:v>88</c:v>
                </c:pt>
                <c:pt idx="4">
                  <c:v>64</c:v>
                </c:pt>
              </c:numCache>
            </c:numRef>
          </c:yVal>
          <c:smooth val="1"/>
        </c:ser>
        <c:axId val="11132081"/>
        <c:axId val="27077513"/>
      </c:scatterChart>
      <c:valAx>
        <c:axId val="11132081"/>
        <c:scaling>
          <c:orientation val="minMax"/>
          <c:max val="7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Report (1–6)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77513"/>
        <c:crosses val="autoZero"/>
        <c:crossBetween val="midCat"/>
        <c:majorUnit val="1"/>
      </c:valAx>
      <c:valAx>
        <c:axId val="27077513"/>
        <c:scaling>
          <c:orientation val="minMax"/>
          <c:max val="3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LLM 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3208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5 — time per run, sequential vs parallel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'Seq vs Par'!D4</c:f>
              <c:strCache>
                <c:ptCount val="1"/>
                <c:pt idx="0">
                  <c:v>Sequential (s)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'Seq vs Par'!$A$5:$A$8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'Seq vs Par'!$D$5:$D$8</c:f>
              <c:numCache>
                <c:formatCode>0</c:formatCode>
                <c:ptCount val="4"/>
                <c:pt idx="0">
                  <c:v>81</c:v>
                </c:pt>
                <c:pt idx="1">
                  <c:v>64</c:v>
                </c:pt>
                <c:pt idx="2">
                  <c:v>61</c:v>
                </c:pt>
                <c:pt idx="3">
                  <c:v>40</c:v>
                </c:pt>
              </c:numCache>
            </c:numRef>
          </c:val>
        </c:ser>
        <c:ser>
          <c:idx val="1"/>
          <c:order val="1"/>
          <c:tx>
            <c:strRef>
              <c:f>'Seq vs Par'!E4</c:f>
              <c:strCache>
                <c:ptCount val="1"/>
                <c:pt idx="0">
                  <c:v>Parallel (s)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'Seq vs Par'!$A$5:$A$8</c:f>
              <c:strCache>
                <c:ptCount val="4"/>
                <c:pt idx="0">
                  <c:v>R1</c:v>
                </c:pt>
                <c:pt idx="1">
                  <c:v>R2</c:v>
                </c:pt>
                <c:pt idx="2">
                  <c:v>R3</c:v>
                </c:pt>
                <c:pt idx="3">
                  <c:v>R4</c:v>
                </c:pt>
              </c:strCache>
            </c:strRef>
          </c:cat>
          <c:val>
            <c:numRef>
              <c:f>'Seq vs Par'!$E$5:$E$8</c:f>
              <c:numCache>
                <c:formatCode>0</c:formatCode>
                <c:ptCount val="4"/>
                <c:pt idx="0">
                  <c:v>50</c:v>
                </c:pt>
                <c:pt idx="1">
                  <c:v>49</c:v>
                </c:pt>
                <c:pt idx="2">
                  <c:v>48</c:v>
                </c:pt>
                <c:pt idx="3">
                  <c:v>55</c:v>
                </c:pt>
              </c:numCache>
            </c:numRef>
          </c:val>
        </c:ser>
        <c:gapWidth val="150"/>
        <c:overlap val="0"/>
        <c:axId val="33770094"/>
        <c:axId val="96963595"/>
      </c:barChart>
      <c:catAx>
        <c:axId val="337700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Run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963595"/>
        <c:crosses val="autoZero"/>
        <c:auto val="1"/>
        <c:lblAlgn val="ctr"/>
        <c:lblOffset val="100"/>
        <c:noMultiLvlLbl val="0"/>
      </c:catAx>
      <c:valAx>
        <c:axId val="96963595"/>
        <c:scaling>
          <c:orientation val="minMax"/>
          <c:max val="9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70094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 5 — wall-clock time for a batch of 4 runs (s)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'Seq vs Par'!$D$9:$E$9</c:f>
              <c:strCache>
                <c:ptCount val="2"/>
                <c:pt idx="0">
                  <c:v>Sequential</c:v>
                </c:pt>
                <c:pt idx="1">
                  <c:v>Parallel</c:v>
                </c:pt>
              </c:strCache>
            </c:strRef>
          </c:cat>
          <c:val>
            <c:numRef>
              <c:f>'Seq vs Par'!$D$19:$E$19</c:f>
              <c:numCache>
                <c:formatCode>0</c:formatCode>
                <c:ptCount val="2"/>
                <c:pt idx="0">
                  <c:v>246</c:v>
                </c:pt>
                <c:pt idx="1">
                  <c:v>55</c:v>
                </c:pt>
              </c:numCache>
            </c:numRef>
          </c:val>
        </c:ser>
        <c:gapWidth val="150"/>
        <c:overlap val="0"/>
        <c:axId val="54112936"/>
        <c:axId val="64167798"/>
      </c:barChart>
      <c:catAx>
        <c:axId val="5411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67798"/>
        <c:crosses val="autoZero"/>
        <c:auto val="1"/>
        <c:lblAlgn val="ctr"/>
        <c:lblOffset val="100"/>
        <c:noMultiLvlLbl val="0"/>
      </c:catAx>
      <c:valAx>
        <c:axId val="64167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Seconds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12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160560</xdr:rowOff>
    </xdr:from>
    <xdr:to>
      <xdr:col>7</xdr:col>
      <xdr:colOff>276840</xdr:colOff>
      <xdr:row>40</xdr:row>
      <xdr:rowOff>151200</xdr:rowOff>
    </xdr:to>
    <xdr:graphicFrame>
      <xdr:nvGraphicFramePr>
        <xdr:cNvPr id="0" name="Chart 1"/>
        <xdr:cNvGraphicFramePr/>
      </xdr:nvGraphicFramePr>
      <xdr:xfrm>
        <a:off x="0" y="492444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22</xdr:row>
      <xdr:rowOff>160560</xdr:rowOff>
    </xdr:from>
    <xdr:to>
      <xdr:col>15</xdr:col>
      <xdr:colOff>387720</xdr:colOff>
      <xdr:row>40</xdr:row>
      <xdr:rowOff>151200</xdr:rowOff>
    </xdr:to>
    <xdr:graphicFrame>
      <xdr:nvGraphicFramePr>
        <xdr:cNvPr id="1" name="Chart 2"/>
        <xdr:cNvGraphicFramePr/>
      </xdr:nvGraphicFramePr>
      <xdr:xfrm>
        <a:off x="7753320" y="4924440"/>
        <a:ext cx="50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2</xdr:row>
      <xdr:rowOff>160920</xdr:rowOff>
    </xdr:from>
    <xdr:to>
      <xdr:col>27</xdr:col>
      <xdr:colOff>364680</xdr:colOff>
      <xdr:row>19</xdr:row>
      <xdr:rowOff>141120</xdr:rowOff>
    </xdr:to>
    <xdr:graphicFrame>
      <xdr:nvGraphicFramePr>
        <xdr:cNvPr id="2" name="Chart 1"/>
        <xdr:cNvGraphicFramePr/>
      </xdr:nvGraphicFramePr>
      <xdr:xfrm>
        <a:off x="12946320" y="571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24</xdr:row>
      <xdr:rowOff>160920</xdr:rowOff>
    </xdr:from>
    <xdr:to>
      <xdr:col>27</xdr:col>
      <xdr:colOff>364680</xdr:colOff>
      <xdr:row>41</xdr:row>
      <xdr:rowOff>141120</xdr:rowOff>
    </xdr:to>
    <xdr:graphicFrame>
      <xdr:nvGraphicFramePr>
        <xdr:cNvPr id="3" name="Chart 2"/>
        <xdr:cNvGraphicFramePr/>
      </xdr:nvGraphicFramePr>
      <xdr:xfrm>
        <a:off x="12946320" y="51436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16</xdr:col>
      <xdr:colOff>255960</xdr:colOff>
      <xdr:row>18</xdr:row>
      <xdr:rowOff>142920</xdr:rowOff>
    </xdr:to>
    <xdr:graphicFrame>
      <xdr:nvGraphicFramePr>
        <xdr:cNvPr id="4" name="Chart 1"/>
        <xdr:cNvGraphicFramePr/>
      </xdr:nvGraphicFramePr>
      <xdr:xfrm>
        <a:off x="78008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160920</xdr:rowOff>
    </xdr:from>
    <xdr:to>
      <xdr:col>16</xdr:col>
      <xdr:colOff>255960</xdr:colOff>
      <xdr:row>38</xdr:row>
      <xdr:rowOff>162000</xdr:rowOff>
    </xdr:to>
    <xdr:graphicFrame>
      <xdr:nvGraphicFramePr>
        <xdr:cNvPr id="5" name="Chart 2"/>
        <xdr:cNvGraphicFramePr/>
      </xdr:nvGraphicFramePr>
      <xdr:xfrm>
        <a:off x="7800840" y="4400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3" t="s">
        <v>3</v>
      </c>
    </row>
    <row r="6" customFormat="false" ht="35.05" hidden="false" customHeight="false" outlineLevel="0" collapsed="false">
      <c r="A6" s="4" t="s">
        <v>4</v>
      </c>
    </row>
    <row r="7" customFormat="false" ht="15" hidden="false" customHeight="false" outlineLevel="0" collapsed="false">
      <c r="A7" s="2" t="s">
        <v>5</v>
      </c>
    </row>
    <row r="8" customFormat="false" ht="23.8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2" t="s">
        <v>10</v>
      </c>
    </row>
    <row r="13" customFormat="false" ht="23.8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5" t="s">
        <v>17</v>
      </c>
    </row>
    <row r="2" customFormat="false" ht="15" hidden="false" customHeight="false" outlineLevel="0" collapsed="false">
      <c r="A2" s="6" t="s">
        <v>18</v>
      </c>
    </row>
    <row r="4" customFormat="false" ht="15" hidden="false" customHeight="false" outlineLevel="0" collapsed="false">
      <c r="A4" s="7" t="s">
        <v>19</v>
      </c>
      <c r="B4" s="7" t="s">
        <v>20</v>
      </c>
    </row>
    <row r="5" customFormat="false" ht="15" hidden="false" customHeight="false" outlineLevel="0" collapsed="false">
      <c r="A5" s="8" t="s">
        <v>21</v>
      </c>
      <c r="B5" s="9"/>
    </row>
    <row r="6" customFormat="false" ht="15" hidden="false" customHeight="false" outlineLevel="0" collapsed="false">
      <c r="A6" s="10" t="s">
        <v>22</v>
      </c>
      <c r="B6" s="11" t="s">
        <v>23</v>
      </c>
    </row>
    <row r="7" customFormat="false" ht="15" hidden="false" customHeight="false" outlineLevel="0" collapsed="false">
      <c r="A7" s="10" t="s">
        <v>24</v>
      </c>
      <c r="B7" s="11" t="s">
        <v>25</v>
      </c>
    </row>
    <row r="8" customFormat="false" ht="23.85" hidden="false" customHeight="false" outlineLevel="0" collapsed="false">
      <c r="A8" s="10" t="s">
        <v>26</v>
      </c>
      <c r="B8" s="11" t="s">
        <v>27</v>
      </c>
    </row>
    <row r="9" customFormat="false" ht="15" hidden="false" customHeight="false" outlineLevel="0" collapsed="false">
      <c r="A9" s="10" t="s">
        <v>28</v>
      </c>
      <c r="B9" s="11" t="s">
        <v>29</v>
      </c>
    </row>
    <row r="10" customFormat="false" ht="15" hidden="false" customHeight="false" outlineLevel="0" collapsed="false">
      <c r="A10" s="8" t="s">
        <v>30</v>
      </c>
      <c r="B10" s="9"/>
    </row>
    <row r="11" customFormat="false" ht="15" hidden="false" customHeight="false" outlineLevel="0" collapsed="false">
      <c r="A11" s="10" t="s">
        <v>31</v>
      </c>
      <c r="B11" s="11" t="s">
        <v>32</v>
      </c>
    </row>
    <row r="12" customFormat="false" ht="15" hidden="false" customHeight="false" outlineLevel="0" collapsed="false">
      <c r="A12" s="10" t="s">
        <v>33</v>
      </c>
      <c r="B12" s="11" t="s">
        <v>34</v>
      </c>
    </row>
    <row r="13" customFormat="false" ht="15" hidden="false" customHeight="false" outlineLevel="0" collapsed="false">
      <c r="A13" s="10" t="s">
        <v>35</v>
      </c>
      <c r="B13" s="11" t="s">
        <v>36</v>
      </c>
    </row>
    <row r="14" customFormat="false" ht="15" hidden="false" customHeight="false" outlineLevel="0" collapsed="false">
      <c r="A14" s="10" t="s">
        <v>37</v>
      </c>
      <c r="B14" s="11" t="s">
        <v>38</v>
      </c>
    </row>
    <row r="15" customFormat="false" ht="15" hidden="false" customHeight="false" outlineLevel="0" collapsed="false">
      <c r="A15" s="8" t="s">
        <v>39</v>
      </c>
      <c r="B15" s="9"/>
    </row>
    <row r="16" customFormat="false" ht="15" hidden="false" customHeight="false" outlineLevel="0" collapsed="false">
      <c r="A16" s="10" t="s">
        <v>40</v>
      </c>
      <c r="B16" s="11" t="s">
        <v>41</v>
      </c>
    </row>
    <row r="17" customFormat="false" ht="23.85" hidden="false" customHeight="false" outlineLevel="0" collapsed="false">
      <c r="A17" s="10" t="s">
        <v>42</v>
      </c>
      <c r="B17" s="11" t="s">
        <v>43</v>
      </c>
    </row>
    <row r="18" customFormat="false" ht="15" hidden="false" customHeight="false" outlineLevel="0" collapsed="false">
      <c r="A18" s="10" t="s">
        <v>44</v>
      </c>
      <c r="B18" s="11" t="s">
        <v>45</v>
      </c>
    </row>
    <row r="19" customFormat="false" ht="26.85" hidden="false" customHeight="false" outlineLevel="0" collapsed="false">
      <c r="A19" s="8" t="s">
        <v>46</v>
      </c>
      <c r="B19" s="9"/>
    </row>
    <row r="20" customFormat="false" ht="15" hidden="false" customHeight="false" outlineLevel="0" collapsed="false">
      <c r="A20" s="10" t="s">
        <v>47</v>
      </c>
      <c r="B20" s="11" t="s">
        <v>48</v>
      </c>
    </row>
    <row r="21" customFormat="false" ht="15" hidden="false" customHeight="false" outlineLevel="0" collapsed="false">
      <c r="A21" s="10" t="s">
        <v>49</v>
      </c>
      <c r="B21" s="11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0" min="2" style="0" width="11"/>
  </cols>
  <sheetData>
    <row r="1" customFormat="false" ht="17.35" hidden="false" customHeight="false" outlineLevel="0" collapsed="false">
      <c r="A1" s="5" t="s">
        <v>51</v>
      </c>
    </row>
    <row r="2" customFormat="false" ht="15" hidden="false" customHeight="false" outlineLevel="0" collapsed="false">
      <c r="A2" s="6" t="s">
        <v>52</v>
      </c>
    </row>
    <row r="4" customFormat="false" ht="57.75" hidden="false" customHeight="true" outlineLevel="0" collapsed="false">
      <c r="A4" s="7" t="s">
        <v>53</v>
      </c>
      <c r="B4" s="7" t="s">
        <v>54</v>
      </c>
      <c r="C4" s="7" t="s">
        <v>55</v>
      </c>
      <c r="D4" s="7" t="s">
        <v>56</v>
      </c>
      <c r="E4" s="7" t="s">
        <v>57</v>
      </c>
      <c r="F4" s="7" t="s">
        <v>58</v>
      </c>
      <c r="G4" s="7" t="s">
        <v>59</v>
      </c>
      <c r="H4" s="7" t="s">
        <v>60</v>
      </c>
      <c r="I4" s="7" t="s">
        <v>61</v>
      </c>
      <c r="J4" s="7" t="s">
        <v>62</v>
      </c>
      <c r="K4" s="7" t="s">
        <v>63</v>
      </c>
      <c r="L4" s="7" t="s">
        <v>64</v>
      </c>
      <c r="M4" s="7" t="s">
        <v>65</v>
      </c>
      <c r="N4" s="7" t="s">
        <v>66</v>
      </c>
      <c r="O4" s="7" t="s">
        <v>67</v>
      </c>
      <c r="P4" s="7" t="s">
        <v>68</v>
      </c>
      <c r="Q4" s="7" t="s">
        <v>69</v>
      </c>
      <c r="R4" s="7" t="s">
        <v>70</v>
      </c>
      <c r="S4" s="7" t="s">
        <v>71</v>
      </c>
      <c r="T4" s="7" t="s">
        <v>72</v>
      </c>
    </row>
    <row r="5" customFormat="false" ht="15" hidden="false" customHeight="false" outlineLevel="0" collapsed="false">
      <c r="A5" s="12" t="s">
        <v>73</v>
      </c>
      <c r="B5" s="13" t="n">
        <v>12</v>
      </c>
      <c r="C5" s="14" t="n">
        <v>3066</v>
      </c>
      <c r="D5" s="15" t="n">
        <f aca="false">'LLM runs'!G38</f>
        <v>65.6</v>
      </c>
      <c r="E5" s="16" t="n">
        <f aca="false">'LLM runs'!H38</f>
        <v>726382.2</v>
      </c>
      <c r="F5" s="16" t="n">
        <f aca="false">'LLM runs'!J38</f>
        <v>11755.4</v>
      </c>
      <c r="G5" s="15" t="n">
        <f aca="false">'LLM runs'!B38</f>
        <v>240.6</v>
      </c>
      <c r="H5" s="15" t="n">
        <f aca="false">'LLM runs'!C38</f>
        <v>42.7586248609564</v>
      </c>
      <c r="I5" s="17" t="n">
        <f aca="false">'LLM runs'!D38</f>
        <v>0.177716645307383</v>
      </c>
      <c r="J5" s="18" t="n">
        <f aca="false">G5/D5</f>
        <v>3.66768292682927</v>
      </c>
      <c r="K5" s="19" t="n">
        <f aca="false">Stages!F5</f>
        <v>0.071</v>
      </c>
      <c r="L5" s="20" t="n">
        <f aca="false">Stages!G5</f>
        <v>3.996</v>
      </c>
      <c r="M5" s="21" t="n">
        <f aca="false">Stages!H5</f>
        <v>21</v>
      </c>
      <c r="N5" s="22" t="n">
        <f aca="false">K5+L5+M5</f>
        <v>25.067</v>
      </c>
      <c r="O5" s="22" t="n">
        <f aca="false">G5+N5</f>
        <v>265.667</v>
      </c>
      <c r="P5" s="23" t="n">
        <f aca="false">G5/O5</f>
        <v>0.905645036831823</v>
      </c>
      <c r="Q5" s="24" t="n">
        <f aca="false">RANK(C5,$C$5:$C$10,1)</f>
        <v>6</v>
      </c>
      <c r="R5" s="24" t="n">
        <f aca="false">RANK(G5,$G$5:$G$10,1)</f>
        <v>6</v>
      </c>
      <c r="S5" s="24" t="n">
        <f aca="false">RANK(D5,$D$5:$D$10,1)</f>
        <v>6</v>
      </c>
      <c r="T5" s="24" t="n">
        <f aca="false">RANK(E5,$E$5:$E$10,1)</f>
        <v>6</v>
      </c>
    </row>
    <row r="6" customFormat="false" ht="15" hidden="false" customHeight="false" outlineLevel="0" collapsed="false">
      <c r="A6" s="12" t="s">
        <v>74</v>
      </c>
      <c r="B6" s="13" t="n">
        <v>2</v>
      </c>
      <c r="C6" s="14" t="n">
        <v>444</v>
      </c>
      <c r="D6" s="15" t="n">
        <f aca="false">'LLM runs'!G39</f>
        <v>22.6</v>
      </c>
      <c r="E6" s="16" t="n">
        <f aca="false">'LLM runs'!H39</f>
        <v>90482.6</v>
      </c>
      <c r="F6" s="16" t="n">
        <f aca="false">'LLM runs'!J39</f>
        <v>3302.4</v>
      </c>
      <c r="G6" s="15" t="n">
        <f aca="false">'LLM runs'!B39</f>
        <v>74.2</v>
      </c>
      <c r="H6" s="15" t="n">
        <f aca="false">'LLM runs'!C39</f>
        <v>14.2021125189177</v>
      </c>
      <c r="I6" s="17" t="n">
        <f aca="false">'LLM runs'!D39</f>
        <v>0.191403133678137</v>
      </c>
      <c r="J6" s="18" t="n">
        <f aca="false">G6/D6</f>
        <v>3.28318584070796</v>
      </c>
      <c r="K6" s="19" t="n">
        <f aca="false">Stages!F6</f>
        <v>0.025</v>
      </c>
      <c r="L6" s="20" t="n">
        <f aca="false">Stages!G6</f>
        <v>4.352</v>
      </c>
      <c r="M6" s="21" t="n">
        <f aca="false">Stages!H6</f>
        <v>8</v>
      </c>
      <c r="N6" s="22" t="n">
        <f aca="false">K6+L6+M6</f>
        <v>12.377</v>
      </c>
      <c r="O6" s="22" t="n">
        <f aca="false">G6+N6</f>
        <v>86.577</v>
      </c>
      <c r="P6" s="23" t="n">
        <f aca="false">G6/O6</f>
        <v>0.857040553495732</v>
      </c>
      <c r="Q6" s="24" t="n">
        <f aca="false">RANK(C6,$C$5:$C$10,1)</f>
        <v>1</v>
      </c>
      <c r="R6" s="24" t="n">
        <f aca="false">RANK(G6,$G$5:$G$10,1)</f>
        <v>3</v>
      </c>
      <c r="S6" s="24" t="n">
        <f aca="false">RANK(D6,$D$5:$D$10,1)</f>
        <v>3</v>
      </c>
      <c r="T6" s="24" t="n">
        <f aca="false">RANK(E6,$E$5:$E$10,1)</f>
        <v>2</v>
      </c>
    </row>
    <row r="7" customFormat="false" ht="15" hidden="false" customHeight="false" outlineLevel="0" collapsed="false">
      <c r="A7" s="12" t="s">
        <v>75</v>
      </c>
      <c r="B7" s="13" t="n">
        <v>6</v>
      </c>
      <c r="C7" s="14" t="n">
        <v>1615</v>
      </c>
      <c r="D7" s="15" t="n">
        <f aca="false">'LLM runs'!G40</f>
        <v>25.4</v>
      </c>
      <c r="E7" s="16" t="n">
        <f aca="false">'LLM runs'!H40</f>
        <v>191428.8</v>
      </c>
      <c r="F7" s="16" t="n">
        <f aca="false">'LLM runs'!J40</f>
        <v>5586.2</v>
      </c>
      <c r="G7" s="15" t="n">
        <f aca="false">'LLM runs'!B40</f>
        <v>97.4</v>
      </c>
      <c r="H7" s="15" t="n">
        <f aca="false">'LLM runs'!C40</f>
        <v>11.8025420990565</v>
      </c>
      <c r="I7" s="17" t="n">
        <f aca="false">'LLM runs'!D40</f>
        <v>0.121175996910231</v>
      </c>
      <c r="J7" s="18" t="n">
        <f aca="false">G7/D7</f>
        <v>3.83464566929134</v>
      </c>
      <c r="K7" s="19" t="n">
        <f aca="false">Stages!F7</f>
        <v>0.069</v>
      </c>
      <c r="L7" s="20" t="n">
        <f aca="false">Stages!G7</f>
        <v>8.598</v>
      </c>
      <c r="M7" s="21" t="n">
        <f aca="false">Stages!H7</f>
        <v>14</v>
      </c>
      <c r="N7" s="22" t="n">
        <f aca="false">K7+L7+M7</f>
        <v>22.667</v>
      </c>
      <c r="O7" s="22" t="n">
        <f aca="false">G7+N7</f>
        <v>120.067</v>
      </c>
      <c r="P7" s="23" t="n">
        <f aca="false">G7/O7</f>
        <v>0.811213738995727</v>
      </c>
      <c r="Q7" s="24" t="n">
        <f aca="false">RANK(C7,$C$5:$C$10,1)</f>
        <v>4</v>
      </c>
      <c r="R7" s="24" t="n">
        <f aca="false">RANK(G7,$G$5:$G$10,1)</f>
        <v>4</v>
      </c>
      <c r="S7" s="24" t="n">
        <f aca="false">RANK(D7,$D$5:$D$10,1)</f>
        <v>4</v>
      </c>
      <c r="T7" s="24" t="n">
        <f aca="false">RANK(E7,$E$5:$E$10,1)</f>
        <v>4</v>
      </c>
    </row>
    <row r="8" customFormat="false" ht="15" hidden="false" customHeight="false" outlineLevel="0" collapsed="false">
      <c r="A8" s="12" t="s">
        <v>76</v>
      </c>
      <c r="B8" s="13" t="n">
        <v>7</v>
      </c>
      <c r="C8" s="14" t="n">
        <v>1801</v>
      </c>
      <c r="D8" s="15" t="n">
        <f aca="false">'LLM runs'!G41</f>
        <v>40</v>
      </c>
      <c r="E8" s="16" t="n">
        <f aca="false">'LLM runs'!H41</f>
        <v>421007.8</v>
      </c>
      <c r="F8" s="16" t="n">
        <f aca="false">'LLM runs'!J41</f>
        <v>8537</v>
      </c>
      <c r="G8" s="15" t="n">
        <f aca="false">'LLM runs'!B41</f>
        <v>146.4</v>
      </c>
      <c r="H8" s="15" t="n">
        <f aca="false">'LLM runs'!C41</f>
        <v>14.9933318511931</v>
      </c>
      <c r="I8" s="17" t="n">
        <f aca="false">'LLM runs'!D41</f>
        <v>0.102413468928914</v>
      </c>
      <c r="J8" s="18" t="n">
        <f aca="false">G8/D8</f>
        <v>3.66</v>
      </c>
      <c r="K8" s="19" t="n">
        <f aca="false">Stages!F8</f>
        <v>0.032</v>
      </c>
      <c r="L8" s="20" t="n">
        <f aca="false">Stages!G8</f>
        <v>6.515</v>
      </c>
      <c r="M8" s="21" t="n">
        <f aca="false">Stages!H8</f>
        <v>12</v>
      </c>
      <c r="N8" s="22" t="n">
        <f aca="false">K8+L8+M8</f>
        <v>18.547</v>
      </c>
      <c r="O8" s="22" t="n">
        <f aca="false">G8+N8</f>
        <v>164.947</v>
      </c>
      <c r="P8" s="23" t="n">
        <f aca="false">G8/O8</f>
        <v>0.887557821603303</v>
      </c>
      <c r="Q8" s="24" t="n">
        <f aca="false">RANK(C8,$C$5:$C$10,1)</f>
        <v>5</v>
      </c>
      <c r="R8" s="24" t="n">
        <f aca="false">RANK(G8,$G$5:$G$10,1)</f>
        <v>5</v>
      </c>
      <c r="S8" s="24" t="n">
        <f aca="false">RANK(D8,$D$5:$D$10,1)</f>
        <v>5</v>
      </c>
      <c r="T8" s="24" t="n">
        <f aca="false">RANK(E8,$E$5:$E$10,1)</f>
        <v>5</v>
      </c>
    </row>
    <row r="9" customFormat="false" ht="15" hidden="false" customHeight="false" outlineLevel="0" collapsed="false">
      <c r="A9" s="12" t="s">
        <v>77</v>
      </c>
      <c r="B9" s="13" t="n">
        <v>4</v>
      </c>
      <c r="C9" s="14" t="n">
        <v>817</v>
      </c>
      <c r="D9" s="15" t="n">
        <f aca="false">'LLM runs'!G42</f>
        <v>13</v>
      </c>
      <c r="E9" s="16" t="n">
        <f aca="false">'LLM runs'!H42</f>
        <v>48759.8</v>
      </c>
      <c r="F9" s="16" t="n">
        <f aca="false">'LLM runs'!J42</f>
        <v>3732.4</v>
      </c>
      <c r="G9" s="15" t="n">
        <f aca="false">'LLM runs'!B42</f>
        <v>64.2</v>
      </c>
      <c r="H9" s="15" t="n">
        <f aca="false">'LLM runs'!C42</f>
        <v>9.49736805646701</v>
      </c>
      <c r="I9" s="17" t="n">
        <f aca="false">'LLM runs'!D42</f>
        <v>0.147934081876433</v>
      </c>
      <c r="J9" s="18" t="n">
        <f aca="false">G9/D9</f>
        <v>4.93846153846154</v>
      </c>
      <c r="K9" s="19" t="n">
        <f aca="false">Stages!F9</f>
        <v>0.007</v>
      </c>
      <c r="L9" s="20" t="n">
        <f aca="false">Stages!G9</f>
        <v>3.053</v>
      </c>
      <c r="M9" s="21" t="n">
        <f aca="false">Stages!H9</f>
        <v>6</v>
      </c>
      <c r="N9" s="22" t="n">
        <f aca="false">K9+L9+M9</f>
        <v>9.06</v>
      </c>
      <c r="O9" s="22" t="n">
        <f aca="false">G9+N9</f>
        <v>73.26</v>
      </c>
      <c r="P9" s="23" t="n">
        <f aca="false">G9/O9</f>
        <v>0.876330876330876</v>
      </c>
      <c r="Q9" s="24" t="n">
        <f aca="false">RANK(C9,$C$5:$C$10,1)</f>
        <v>2</v>
      </c>
      <c r="R9" s="24" t="n">
        <f aca="false">RANK(G9,$G$5:$G$10,1)</f>
        <v>1</v>
      </c>
      <c r="S9" s="24" t="n">
        <f aca="false">RANK(D9,$D$5:$D$10,1)</f>
        <v>1</v>
      </c>
      <c r="T9" s="24" t="n">
        <f aca="false">RANK(E9,$E$5:$E$10,1)</f>
        <v>1</v>
      </c>
    </row>
    <row r="10" customFormat="false" ht="15" hidden="false" customHeight="false" outlineLevel="0" collapsed="false">
      <c r="A10" s="12" t="s">
        <v>78</v>
      </c>
      <c r="B10" s="13" t="n">
        <v>4</v>
      </c>
      <c r="C10" s="14" t="n">
        <v>926</v>
      </c>
      <c r="D10" s="15" t="n">
        <f aca="false">'LLM runs'!G43</f>
        <v>19</v>
      </c>
      <c r="E10" s="16" t="n">
        <f aca="false">'LLM runs'!H43</f>
        <v>94751</v>
      </c>
      <c r="F10" s="16" t="n">
        <f aca="false">'LLM runs'!J43</f>
        <v>3823</v>
      </c>
      <c r="G10" s="15" t="n">
        <f aca="false">'LLM runs'!B43</f>
        <v>69.8</v>
      </c>
      <c r="H10" s="15" t="n">
        <f aca="false">'LLM runs'!C43</f>
        <v>10.6160256216722</v>
      </c>
      <c r="I10" s="17" t="n">
        <f aca="false">'LLM runs'!D43</f>
        <v>0.15209205761708</v>
      </c>
      <c r="J10" s="18" t="n">
        <f aca="false">G10/D10</f>
        <v>3.67368421052632</v>
      </c>
      <c r="K10" s="19" t="n">
        <f aca="false">Stages!F10</f>
        <v>0.028</v>
      </c>
      <c r="L10" s="20" t="n">
        <f aca="false">Stages!G10</f>
        <v>7.804</v>
      </c>
      <c r="M10" s="21" t="n">
        <f aca="false">Stages!H10</f>
        <v>7</v>
      </c>
      <c r="N10" s="22" t="n">
        <f aca="false">K10+L10+M10</f>
        <v>14.832</v>
      </c>
      <c r="O10" s="22" t="n">
        <f aca="false">G10+N10</f>
        <v>84.632</v>
      </c>
      <c r="P10" s="23" t="n">
        <f aca="false">G10/O10</f>
        <v>0.82474714056149</v>
      </c>
      <c r="Q10" s="24" t="n">
        <f aca="false">RANK(C10,$C$5:$C$10,1)</f>
        <v>3</v>
      </c>
      <c r="R10" s="24" t="n">
        <f aca="false">RANK(G10,$G$5:$G$10,1)</f>
        <v>2</v>
      </c>
      <c r="S10" s="24" t="n">
        <f aca="false">RANK(D10,$D$5:$D$10,1)</f>
        <v>2</v>
      </c>
      <c r="T10" s="24" t="n">
        <f aca="false">RANK(E10,$E$5:$E$10,1)</f>
        <v>3</v>
      </c>
    </row>
    <row r="11" customFormat="false" ht="15" hidden="false" customHeight="false" outlineLevel="0" collapsed="false">
      <c r="A11" s="25" t="s">
        <v>79</v>
      </c>
      <c r="B11" s="26" t="n">
        <f aca="false">SUM(B5:B10)</f>
        <v>35</v>
      </c>
      <c r="C11" s="27" t="n">
        <f aca="false">SUM(C5:C10)</f>
        <v>8669</v>
      </c>
      <c r="D11" s="28" t="n">
        <f aca="false">AVERAGE(D5:D10)</f>
        <v>30.9333333333333</v>
      </c>
      <c r="E11" s="27" t="n">
        <f aca="false">AVERAGE(E5:E10)</f>
        <v>262135.366666667</v>
      </c>
      <c r="F11" s="27" t="n">
        <f aca="false">AVERAGE(F5:F10)</f>
        <v>6122.73333333333</v>
      </c>
      <c r="G11" s="28" t="n">
        <f aca="false">AVERAGE(G5:G10)</f>
        <v>115.433333333333</v>
      </c>
      <c r="H11" s="25"/>
      <c r="I11" s="25"/>
      <c r="J11" s="29" t="n">
        <f aca="false">SUM(G5:G10)/SUM(D5:D10)</f>
        <v>3.73168103448276</v>
      </c>
      <c r="K11" s="30" t="n">
        <f aca="false">AVERAGE(K5:K10)</f>
        <v>0.0386666666666667</v>
      </c>
      <c r="L11" s="29" t="n">
        <f aca="false">AVERAGE(L5:L10)</f>
        <v>5.71966666666667</v>
      </c>
      <c r="M11" s="29" t="n">
        <f aca="false">AVERAGE(M5:M10)</f>
        <v>11.3333333333333</v>
      </c>
      <c r="N11" s="28" t="n">
        <f aca="false">AVERAGE(N5:N10)</f>
        <v>17.0916666666667</v>
      </c>
      <c r="O11" s="28" t="n">
        <f aca="false">AVERAGE(O5:O10)</f>
        <v>132.525</v>
      </c>
      <c r="P11" s="31" t="n">
        <f aca="false">SUM(G5:G10)/SUM(O5:O10)</f>
        <v>0.871030623152864</v>
      </c>
    </row>
    <row r="12" customFormat="false" ht="15" hidden="false" customHeight="false" outlineLevel="0" collapsed="false">
      <c r="A12" s="6" t="s">
        <v>80</v>
      </c>
    </row>
    <row r="14" customFormat="false" ht="15" hidden="false" customHeight="false" outlineLevel="0" collapsed="false">
      <c r="A14" s="32" t="s">
        <v>81</v>
      </c>
    </row>
    <row r="15" customFormat="false" ht="15" hidden="false" customHeight="false" outlineLevel="0" collapsed="false">
      <c r="A15" s="12" t="s">
        <v>82</v>
      </c>
      <c r="B15" s="12"/>
      <c r="C15" s="12"/>
      <c r="D15" s="12"/>
      <c r="E15" s="33" t="n">
        <f aca="false">CORREL(R5:R10,Q5:Q10)</f>
        <v>0.828571428571429</v>
      </c>
    </row>
    <row r="16" customFormat="false" ht="15" hidden="false" customHeight="false" outlineLevel="0" collapsed="false">
      <c r="A16" s="12" t="s">
        <v>83</v>
      </c>
      <c r="B16" s="12"/>
      <c r="C16" s="12"/>
      <c r="D16" s="12"/>
      <c r="E16" s="33" t="n">
        <f aca="false">CORREL(R5:R10,S5:S10)</f>
        <v>1</v>
      </c>
    </row>
    <row r="17" customFormat="false" ht="15" hidden="false" customHeight="false" outlineLevel="0" collapsed="false">
      <c r="A17" s="12" t="s">
        <v>84</v>
      </c>
      <c r="B17" s="12"/>
      <c r="C17" s="12"/>
      <c r="D17" s="12"/>
      <c r="E17" s="33" t="n">
        <f aca="false">CORREL(R5:R10,T5:T10)</f>
        <v>0.942857142857143</v>
      </c>
    </row>
    <row r="18" customFormat="false" ht="15" hidden="false" customHeight="false" outlineLevel="0" collapsed="false">
      <c r="A18" s="12" t="s">
        <v>85</v>
      </c>
      <c r="B18" s="12"/>
      <c r="C18" s="12"/>
      <c r="D18" s="12"/>
      <c r="E18" s="33" t="n">
        <f aca="false">CORREL(S5:S10,Q5:Q10)</f>
        <v>0.828571428571429</v>
      </c>
    </row>
    <row r="19" customFormat="false" ht="15" hidden="false" customHeight="false" outlineLevel="0" collapsed="false">
      <c r="A19" s="12" t="s">
        <v>86</v>
      </c>
      <c r="B19" s="12"/>
      <c r="C19" s="12"/>
      <c r="D19" s="12"/>
      <c r="E19" s="19" t="n">
        <f aca="false">'LLM runs'!$B$48</f>
        <v>0.955711383973598</v>
      </c>
    </row>
    <row r="20" customFormat="false" ht="15" hidden="false" customHeight="false" outlineLevel="0" collapsed="false">
      <c r="A20" s="12" t="s">
        <v>87</v>
      </c>
      <c r="B20" s="12"/>
      <c r="C20" s="12"/>
      <c r="D20" s="12"/>
      <c r="E20" s="19" t="n">
        <f aca="false">'LLM runs'!$B$49</f>
        <v>0.838225744938882</v>
      </c>
    </row>
    <row r="21" customFormat="false" ht="15" hidden="false" customHeight="false" outlineLevel="0" collapsed="false">
      <c r="A21" s="12" t="s">
        <v>88</v>
      </c>
      <c r="B21" s="12"/>
      <c r="C21" s="12"/>
      <c r="D21" s="12"/>
      <c r="E21" s="19" t="n">
        <f aca="false">'LLM runs'!$B$50</f>
        <v>0.901536895243286</v>
      </c>
    </row>
    <row r="22" customFormat="false" ht="15" hidden="false" customHeight="false" outlineLevel="0" collapsed="false">
      <c r="A22" s="6" t="s">
        <v>89</v>
      </c>
    </row>
  </sheetData>
  <mergeCells count="7">
    <mergeCell ref="A15:D15"/>
    <mergeCell ref="A16:D16"/>
    <mergeCell ref="A17:D17"/>
    <mergeCell ref="A18:D18"/>
    <mergeCell ref="A19:D19"/>
    <mergeCell ref="A20:D20"/>
    <mergeCell ref="A21:D21"/>
  </mergeCells>
  <conditionalFormatting sqref="P5:P11">
    <cfRule type="colorScale" priority="2">
      <colorScale>
        <cfvo type="num" val="0.8"/>
        <cfvo type="num" val="0.92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3"/>
  </cols>
  <sheetData>
    <row r="1" customFormat="false" ht="17.35" hidden="false" customHeight="false" outlineLevel="0" collapsed="false">
      <c r="A1" s="5" t="s">
        <v>90</v>
      </c>
    </row>
    <row r="2" customFormat="false" ht="15" hidden="false" customHeight="false" outlineLevel="0" collapsed="false">
      <c r="A2" s="6" t="s">
        <v>91</v>
      </c>
    </row>
    <row r="4" customFormat="false" ht="45" hidden="false" customHeight="true" outlineLevel="0" collapsed="false">
      <c r="A4" s="7" t="s">
        <v>53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  <c r="G4" s="7" t="s">
        <v>97</v>
      </c>
      <c r="H4" s="7" t="s">
        <v>98</v>
      </c>
      <c r="I4" s="7" t="s">
        <v>99</v>
      </c>
      <c r="J4" s="7" t="s">
        <v>100</v>
      </c>
      <c r="K4" s="7" t="s">
        <v>101</v>
      </c>
      <c r="L4" s="7" t="s">
        <v>102</v>
      </c>
      <c r="M4" s="7" t="s">
        <v>62</v>
      </c>
      <c r="N4" s="7" t="s">
        <v>103</v>
      </c>
      <c r="O4" s="7" t="s">
        <v>104</v>
      </c>
      <c r="P4" s="7" t="s">
        <v>105</v>
      </c>
    </row>
    <row r="5" customFormat="false" ht="15" hidden="false" customHeight="false" outlineLevel="0" collapsed="false">
      <c r="A5" s="34" t="s">
        <v>73</v>
      </c>
      <c r="B5" s="35" t="n">
        <v>1</v>
      </c>
      <c r="C5" s="35" t="n">
        <v>1</v>
      </c>
      <c r="D5" s="35" t="n">
        <v>67</v>
      </c>
      <c r="E5" s="35" t="n">
        <v>43</v>
      </c>
      <c r="F5" s="35" t="n">
        <v>21</v>
      </c>
      <c r="G5" s="35" t="n">
        <v>58</v>
      </c>
      <c r="H5" s="35" t="n">
        <v>9</v>
      </c>
      <c r="I5" s="14" t="n">
        <v>138773</v>
      </c>
      <c r="J5" s="14" t="n">
        <v>2519</v>
      </c>
      <c r="K5" s="36" t="n">
        <v>0.00209490740740741</v>
      </c>
      <c r="L5" s="24" t="n">
        <f aca="false">ROUND(K5*86400,3)</f>
        <v>181</v>
      </c>
      <c r="M5" s="18" t="n">
        <f aca="false">L5/D5</f>
        <v>2.70149253731343</v>
      </c>
      <c r="N5" s="37" t="n">
        <f aca="false">I5/D5</f>
        <v>2071.23880597015</v>
      </c>
      <c r="O5" s="34" t="str">
        <f aca="false">IF(D5=G5+H5,"OK","≠")</f>
        <v>OK</v>
      </c>
      <c r="P5" s="18" t="n">
        <f aca="false">B5+(C5-3)*0.08</f>
        <v>0.84</v>
      </c>
    </row>
    <row r="6" customFormat="false" ht="15" hidden="false" customHeight="false" outlineLevel="0" collapsed="false">
      <c r="A6" s="34" t="s">
        <v>73</v>
      </c>
      <c r="B6" s="35" t="n">
        <v>1</v>
      </c>
      <c r="C6" s="35" t="n">
        <v>2</v>
      </c>
      <c r="D6" s="35" t="n">
        <v>67</v>
      </c>
      <c r="E6" s="35" t="n">
        <v>43</v>
      </c>
      <c r="F6" s="35" t="n">
        <v>21</v>
      </c>
      <c r="G6" s="35" t="n">
        <v>58</v>
      </c>
      <c r="H6" s="35" t="n">
        <v>9</v>
      </c>
      <c r="I6" s="14" t="n">
        <v>474670</v>
      </c>
      <c r="J6" s="14" t="n">
        <v>13910</v>
      </c>
      <c r="K6" s="36" t="n">
        <v>0.00318287037037037</v>
      </c>
      <c r="L6" s="24" t="n">
        <f aca="false">ROUND(K6*86400,3)</f>
        <v>275</v>
      </c>
      <c r="M6" s="18" t="n">
        <f aca="false">L6/D6</f>
        <v>4.1044776119403</v>
      </c>
      <c r="N6" s="37" t="n">
        <f aca="false">I6/D6</f>
        <v>7084.62686567164</v>
      </c>
      <c r="O6" s="34" t="str">
        <f aca="false">IF(D6=G6+H6,"OK","≠")</f>
        <v>OK</v>
      </c>
      <c r="P6" s="18" t="n">
        <f aca="false">B6+(C6-3)*0.08</f>
        <v>0.92</v>
      </c>
    </row>
    <row r="7" customFormat="false" ht="15" hidden="false" customHeight="false" outlineLevel="0" collapsed="false">
      <c r="A7" s="34" t="s">
        <v>73</v>
      </c>
      <c r="B7" s="35" t="n">
        <v>1</v>
      </c>
      <c r="C7" s="35" t="n">
        <v>3</v>
      </c>
      <c r="D7" s="35" t="n">
        <v>67</v>
      </c>
      <c r="E7" s="35" t="n">
        <v>43</v>
      </c>
      <c r="F7" s="35" t="n">
        <v>21</v>
      </c>
      <c r="G7" s="35" t="n">
        <v>58</v>
      </c>
      <c r="H7" s="35" t="n">
        <v>9</v>
      </c>
      <c r="I7" s="14" t="n">
        <v>1030726</v>
      </c>
      <c r="J7" s="14" t="n">
        <v>13754</v>
      </c>
      <c r="K7" s="36" t="n">
        <v>0.0028125</v>
      </c>
      <c r="L7" s="24" t="n">
        <f aca="false">ROUND(K7*86400,3)</f>
        <v>243</v>
      </c>
      <c r="M7" s="18" t="n">
        <f aca="false">L7/D7</f>
        <v>3.62686567164179</v>
      </c>
      <c r="N7" s="37" t="n">
        <f aca="false">I7/D7</f>
        <v>15383.9701492537</v>
      </c>
      <c r="O7" s="34" t="str">
        <f aca="false">IF(D7=G7+H7,"OK","≠")</f>
        <v>OK</v>
      </c>
      <c r="P7" s="18" t="n">
        <f aca="false">B7+(C7-3)*0.08</f>
        <v>1</v>
      </c>
    </row>
    <row r="8" customFormat="false" ht="15" hidden="false" customHeight="false" outlineLevel="0" collapsed="false">
      <c r="A8" s="34" t="s">
        <v>73</v>
      </c>
      <c r="B8" s="35" t="n">
        <v>1</v>
      </c>
      <c r="C8" s="35" t="n">
        <v>4</v>
      </c>
      <c r="D8" s="35" t="n">
        <v>60</v>
      </c>
      <c r="E8" s="35" t="n">
        <v>39</v>
      </c>
      <c r="F8" s="35" t="n">
        <v>21</v>
      </c>
      <c r="G8" s="35" t="n">
        <v>52</v>
      </c>
      <c r="H8" s="35" t="n">
        <v>8</v>
      </c>
      <c r="I8" s="14" t="n">
        <v>480058</v>
      </c>
      <c r="J8" s="14" t="n">
        <v>12086</v>
      </c>
      <c r="K8" s="36" t="n">
        <v>0.00252314814814815</v>
      </c>
      <c r="L8" s="24" t="n">
        <f aca="false">ROUND(K8*86400,3)</f>
        <v>218</v>
      </c>
      <c r="M8" s="18" t="n">
        <f aca="false">L8/D8</f>
        <v>3.63333333333333</v>
      </c>
      <c r="N8" s="37" t="n">
        <f aca="false">I8/D8</f>
        <v>8000.96666666667</v>
      </c>
      <c r="O8" s="34" t="str">
        <f aca="false">IF(D8=G8+H8,"OK","≠")</f>
        <v>OK</v>
      </c>
      <c r="P8" s="18" t="n">
        <f aca="false">B8+(C8-3)*0.08</f>
        <v>1.08</v>
      </c>
    </row>
    <row r="9" customFormat="false" ht="15" hidden="false" customHeight="false" outlineLevel="0" collapsed="false">
      <c r="A9" s="34" t="s">
        <v>73</v>
      </c>
      <c r="B9" s="35" t="n">
        <v>1</v>
      </c>
      <c r="C9" s="35" t="n">
        <v>5</v>
      </c>
      <c r="D9" s="35" t="n">
        <v>67</v>
      </c>
      <c r="E9" s="35" t="n">
        <v>43</v>
      </c>
      <c r="F9" s="35" t="n">
        <v>21</v>
      </c>
      <c r="G9" s="35" t="n">
        <v>58</v>
      </c>
      <c r="H9" s="35" t="n">
        <v>9</v>
      </c>
      <c r="I9" s="14" t="n">
        <v>1507684</v>
      </c>
      <c r="J9" s="14" t="n">
        <v>16508</v>
      </c>
      <c r="K9" s="36" t="n">
        <v>0.00331018518518519</v>
      </c>
      <c r="L9" s="24" t="n">
        <f aca="false">ROUND(K9*86400,3)</f>
        <v>286</v>
      </c>
      <c r="M9" s="18" t="n">
        <f aca="false">L9/D9</f>
        <v>4.26865671641791</v>
      </c>
      <c r="N9" s="37" t="n">
        <f aca="false">I9/D9</f>
        <v>22502.7462686567</v>
      </c>
      <c r="O9" s="34" t="str">
        <f aca="false">IF(D9=G9+H9,"OK","≠")</f>
        <v>OK</v>
      </c>
      <c r="P9" s="18" t="n">
        <f aca="false">B9+(C9-3)*0.08</f>
        <v>1.16</v>
      </c>
    </row>
    <row r="10" customFormat="false" ht="15" hidden="false" customHeight="false" outlineLevel="0" collapsed="false">
      <c r="A10" s="34" t="s">
        <v>74</v>
      </c>
      <c r="B10" s="35" t="n">
        <v>2</v>
      </c>
      <c r="C10" s="35" t="n">
        <v>1</v>
      </c>
      <c r="D10" s="35" t="n">
        <v>24</v>
      </c>
      <c r="E10" s="35" t="n">
        <v>20</v>
      </c>
      <c r="F10" s="35" t="n">
        <v>21</v>
      </c>
      <c r="G10" s="35" t="n">
        <v>21</v>
      </c>
      <c r="H10" s="35" t="n">
        <v>3</v>
      </c>
      <c r="I10" s="14" t="n">
        <v>97698</v>
      </c>
      <c r="J10" s="14" t="n">
        <v>2920</v>
      </c>
      <c r="K10" s="36" t="n">
        <v>0.000798611111111111</v>
      </c>
      <c r="L10" s="24" t="n">
        <f aca="false">ROUND(K10*86400,3)</f>
        <v>69</v>
      </c>
      <c r="M10" s="18" t="n">
        <f aca="false">L10/D10</f>
        <v>2.875</v>
      </c>
      <c r="N10" s="37" t="n">
        <f aca="false">I10/D10</f>
        <v>4070.75</v>
      </c>
      <c r="O10" s="34" t="str">
        <f aca="false">IF(D10=G10+H10,"OK","≠")</f>
        <v>OK</v>
      </c>
      <c r="P10" s="18" t="n">
        <f aca="false">B10+(C10-3)*0.08</f>
        <v>1.84</v>
      </c>
    </row>
    <row r="11" customFormat="false" ht="15" hidden="false" customHeight="false" outlineLevel="0" collapsed="false">
      <c r="A11" s="34" t="s">
        <v>74</v>
      </c>
      <c r="B11" s="35" t="n">
        <v>2</v>
      </c>
      <c r="C11" s="35" t="n">
        <v>2</v>
      </c>
      <c r="D11" s="35" t="n">
        <v>24</v>
      </c>
      <c r="E11" s="35" t="n">
        <v>20</v>
      </c>
      <c r="F11" s="35" t="n">
        <v>21</v>
      </c>
      <c r="G11" s="35" t="n">
        <v>21</v>
      </c>
      <c r="H11" s="35" t="n">
        <v>3</v>
      </c>
      <c r="I11" s="14" t="n">
        <v>102069</v>
      </c>
      <c r="J11" s="14" t="n">
        <v>3759</v>
      </c>
      <c r="K11" s="36" t="n">
        <v>0.00105324074074074</v>
      </c>
      <c r="L11" s="24" t="n">
        <f aca="false">ROUND(K11*86400,3)</f>
        <v>91</v>
      </c>
      <c r="M11" s="18" t="n">
        <f aca="false">L11/D11</f>
        <v>3.79166666666667</v>
      </c>
      <c r="N11" s="37" t="n">
        <f aca="false">I11/D11</f>
        <v>4252.875</v>
      </c>
      <c r="O11" s="34" t="str">
        <f aca="false">IF(D11=G11+H11,"OK","≠")</f>
        <v>OK</v>
      </c>
      <c r="P11" s="18" t="n">
        <f aca="false">B11+(C11-3)*0.08</f>
        <v>1.92</v>
      </c>
    </row>
    <row r="12" customFormat="false" ht="15" hidden="false" customHeight="false" outlineLevel="0" collapsed="false">
      <c r="A12" s="34" t="s">
        <v>74</v>
      </c>
      <c r="B12" s="35" t="n">
        <v>2</v>
      </c>
      <c r="C12" s="35" t="n">
        <v>3</v>
      </c>
      <c r="D12" s="35" t="n">
        <v>24</v>
      </c>
      <c r="E12" s="35" t="n">
        <v>20</v>
      </c>
      <c r="F12" s="35" t="n">
        <v>21</v>
      </c>
      <c r="G12" s="35" t="n">
        <v>21</v>
      </c>
      <c r="H12" s="35" t="n">
        <v>3</v>
      </c>
      <c r="I12" s="14" t="n">
        <v>101374</v>
      </c>
      <c r="J12" s="14" t="n">
        <v>3569</v>
      </c>
      <c r="K12" s="36" t="n">
        <v>0.000902777777777778</v>
      </c>
      <c r="L12" s="24" t="n">
        <f aca="false">ROUND(K12*86400,3)</f>
        <v>78</v>
      </c>
      <c r="M12" s="18" t="n">
        <f aca="false">L12/D12</f>
        <v>3.25</v>
      </c>
      <c r="N12" s="37" t="n">
        <f aca="false">I12/D12</f>
        <v>4223.91666666667</v>
      </c>
      <c r="O12" s="34" t="str">
        <f aca="false">IF(D12=G12+H12,"OK","≠")</f>
        <v>OK</v>
      </c>
      <c r="P12" s="18" t="n">
        <f aca="false">B12+(C12-3)*0.08</f>
        <v>2</v>
      </c>
    </row>
    <row r="13" customFormat="false" ht="15" hidden="false" customHeight="false" outlineLevel="0" collapsed="false">
      <c r="A13" s="34" t="s">
        <v>74</v>
      </c>
      <c r="B13" s="35" t="n">
        <v>2</v>
      </c>
      <c r="C13" s="35" t="n">
        <v>4</v>
      </c>
      <c r="D13" s="35" t="n">
        <v>17</v>
      </c>
      <c r="E13" s="35" t="n">
        <v>15</v>
      </c>
      <c r="F13" s="35" t="n">
        <v>21</v>
      </c>
      <c r="G13" s="35" t="n">
        <v>15</v>
      </c>
      <c r="H13" s="35" t="n">
        <v>2</v>
      </c>
      <c r="I13" s="14" t="n">
        <v>56632</v>
      </c>
      <c r="J13" s="14" t="n">
        <v>2507</v>
      </c>
      <c r="K13" s="36" t="n">
        <v>0.000613425925925926</v>
      </c>
      <c r="L13" s="24" t="n">
        <f aca="false">ROUND(K13*86400,3)</f>
        <v>53</v>
      </c>
      <c r="M13" s="18" t="n">
        <f aca="false">L13/D13</f>
        <v>3.11764705882353</v>
      </c>
      <c r="N13" s="37" t="n">
        <f aca="false">I13/D13</f>
        <v>3331.29411764706</v>
      </c>
      <c r="O13" s="34" t="str">
        <f aca="false">IF(D13=G13+H13,"OK","≠")</f>
        <v>OK</v>
      </c>
      <c r="P13" s="18" t="n">
        <f aca="false">B13+(C13-3)*0.08</f>
        <v>2.08</v>
      </c>
    </row>
    <row r="14" customFormat="false" ht="15" hidden="false" customHeight="false" outlineLevel="0" collapsed="false">
      <c r="A14" s="34" t="s">
        <v>74</v>
      </c>
      <c r="B14" s="35" t="n">
        <v>2</v>
      </c>
      <c r="C14" s="35" t="n">
        <v>5</v>
      </c>
      <c r="D14" s="35" t="n">
        <v>24</v>
      </c>
      <c r="E14" s="35" t="n">
        <v>20</v>
      </c>
      <c r="F14" s="35" t="n">
        <v>21</v>
      </c>
      <c r="G14" s="35" t="n">
        <v>21</v>
      </c>
      <c r="H14" s="35" t="n">
        <v>3</v>
      </c>
      <c r="I14" s="14" t="n">
        <v>94640</v>
      </c>
      <c r="J14" s="14" t="n">
        <v>3757</v>
      </c>
      <c r="K14" s="36" t="n">
        <v>0.000925925925925926</v>
      </c>
      <c r="L14" s="24" t="n">
        <f aca="false">ROUND(K14*86400,3)</f>
        <v>80</v>
      </c>
      <c r="M14" s="18" t="n">
        <f aca="false">L14/D14</f>
        <v>3.33333333333333</v>
      </c>
      <c r="N14" s="37" t="n">
        <f aca="false">I14/D14</f>
        <v>3943.33333333333</v>
      </c>
      <c r="O14" s="34" t="str">
        <f aca="false">IF(D14=G14+H14,"OK","≠")</f>
        <v>OK</v>
      </c>
      <c r="P14" s="18" t="n">
        <f aca="false">B14+(C14-3)*0.08</f>
        <v>2.16</v>
      </c>
    </row>
    <row r="15" customFormat="false" ht="15" hidden="false" customHeight="false" outlineLevel="0" collapsed="false">
      <c r="A15" s="34" t="s">
        <v>75</v>
      </c>
      <c r="B15" s="35" t="n">
        <v>3</v>
      </c>
      <c r="C15" s="35" t="n">
        <v>1</v>
      </c>
      <c r="D15" s="35" t="n">
        <v>27</v>
      </c>
      <c r="E15" s="35" t="n">
        <v>38</v>
      </c>
      <c r="F15" s="35" t="n">
        <v>13</v>
      </c>
      <c r="G15" s="35" t="n">
        <v>24</v>
      </c>
      <c r="H15" s="35" t="n">
        <v>3</v>
      </c>
      <c r="I15" s="14" t="n">
        <v>210068</v>
      </c>
      <c r="J15" s="14" t="n">
        <v>6322</v>
      </c>
      <c r="K15" s="36" t="n">
        <v>0.0009375</v>
      </c>
      <c r="L15" s="24" t="n">
        <f aca="false">ROUND(K15*86400,3)</f>
        <v>81</v>
      </c>
      <c r="M15" s="18" t="n">
        <f aca="false">L15/D15</f>
        <v>3</v>
      </c>
      <c r="N15" s="37" t="n">
        <f aca="false">I15/D15</f>
        <v>7780.2962962963</v>
      </c>
      <c r="O15" s="34" t="str">
        <f aca="false">IF(D15=G15+H15,"OK","≠")</f>
        <v>OK</v>
      </c>
      <c r="P15" s="18" t="n">
        <f aca="false">B15+(C15-3)*0.08</f>
        <v>2.84</v>
      </c>
    </row>
    <row r="16" customFormat="false" ht="15" hidden="false" customHeight="false" outlineLevel="0" collapsed="false">
      <c r="A16" s="34" t="s">
        <v>75</v>
      </c>
      <c r="B16" s="35" t="n">
        <v>3</v>
      </c>
      <c r="C16" s="35" t="n">
        <v>2</v>
      </c>
      <c r="D16" s="35" t="n">
        <v>25</v>
      </c>
      <c r="E16" s="35" t="n">
        <v>23</v>
      </c>
      <c r="F16" s="35" t="n">
        <v>18</v>
      </c>
      <c r="G16" s="35" t="n">
        <v>22</v>
      </c>
      <c r="H16" s="35" t="n">
        <v>3</v>
      </c>
      <c r="I16" s="14" t="n">
        <v>187409</v>
      </c>
      <c r="J16" s="14" t="n">
        <v>5788</v>
      </c>
      <c r="K16" s="36" t="n">
        <v>0.00125</v>
      </c>
      <c r="L16" s="24" t="n">
        <f aca="false">ROUND(K16*86400,3)</f>
        <v>108</v>
      </c>
      <c r="M16" s="18" t="n">
        <f aca="false">L16/D16</f>
        <v>4.32</v>
      </c>
      <c r="N16" s="37" t="n">
        <f aca="false">I16/D16</f>
        <v>7496.36</v>
      </c>
      <c r="O16" s="34" t="str">
        <f aca="false">IF(D16=G16+H16,"OK","≠")</f>
        <v>OK</v>
      </c>
      <c r="P16" s="18" t="n">
        <f aca="false">B16+(C16-3)*0.08</f>
        <v>2.92</v>
      </c>
    </row>
    <row r="17" customFormat="false" ht="15" hidden="false" customHeight="false" outlineLevel="0" collapsed="false">
      <c r="A17" s="34" t="s">
        <v>75</v>
      </c>
      <c r="B17" s="35" t="n">
        <v>3</v>
      </c>
      <c r="C17" s="35" t="n">
        <v>3</v>
      </c>
      <c r="D17" s="35" t="n">
        <v>25</v>
      </c>
      <c r="E17" s="35" t="n">
        <v>23</v>
      </c>
      <c r="F17" s="35" t="n">
        <v>18</v>
      </c>
      <c r="G17" s="35" t="n">
        <v>22</v>
      </c>
      <c r="H17" s="35" t="n">
        <v>3</v>
      </c>
      <c r="I17" s="14" t="n">
        <v>186560</v>
      </c>
      <c r="J17" s="14" t="n">
        <v>4771</v>
      </c>
      <c r="K17" s="36" t="n">
        <v>0.00126157407407407</v>
      </c>
      <c r="L17" s="24" t="n">
        <f aca="false">ROUND(K17*86400,3)</f>
        <v>109</v>
      </c>
      <c r="M17" s="18" t="n">
        <f aca="false">L17/D17</f>
        <v>4.36</v>
      </c>
      <c r="N17" s="37" t="n">
        <f aca="false">I17/D17</f>
        <v>7462.4</v>
      </c>
      <c r="O17" s="34" t="str">
        <f aca="false">IF(D17=G17+H17,"OK","≠")</f>
        <v>OK</v>
      </c>
      <c r="P17" s="18" t="n">
        <f aca="false">B17+(C17-3)*0.08</f>
        <v>3</v>
      </c>
    </row>
    <row r="18" customFormat="false" ht="15" hidden="false" customHeight="false" outlineLevel="0" collapsed="false">
      <c r="A18" s="34" t="s">
        <v>75</v>
      </c>
      <c r="B18" s="35" t="n">
        <v>3</v>
      </c>
      <c r="C18" s="35" t="n">
        <v>4</v>
      </c>
      <c r="D18" s="35" t="n">
        <v>25</v>
      </c>
      <c r="E18" s="35" t="n">
        <v>23</v>
      </c>
      <c r="F18" s="35" t="n">
        <v>18</v>
      </c>
      <c r="G18" s="35" t="n">
        <v>22</v>
      </c>
      <c r="H18" s="35" t="n">
        <v>3</v>
      </c>
      <c r="I18" s="14" t="n">
        <v>187409</v>
      </c>
      <c r="J18" s="14" t="n">
        <v>5788</v>
      </c>
      <c r="K18" s="36" t="n">
        <v>0.00113425925925926</v>
      </c>
      <c r="L18" s="24" t="n">
        <f aca="false">ROUND(K18*86400,3)</f>
        <v>98</v>
      </c>
      <c r="M18" s="18" t="n">
        <f aca="false">L18/D18</f>
        <v>3.92</v>
      </c>
      <c r="N18" s="37" t="n">
        <f aca="false">I18/D18</f>
        <v>7496.36</v>
      </c>
      <c r="O18" s="34" t="str">
        <f aca="false">IF(D18=G18+H18,"OK","≠")</f>
        <v>OK</v>
      </c>
      <c r="P18" s="18" t="n">
        <f aca="false">B18+(C18-3)*0.08</f>
        <v>3.08</v>
      </c>
    </row>
    <row r="19" customFormat="false" ht="15" hidden="false" customHeight="false" outlineLevel="0" collapsed="false">
      <c r="A19" s="34" t="s">
        <v>75</v>
      </c>
      <c r="B19" s="35" t="n">
        <v>3</v>
      </c>
      <c r="C19" s="35" t="n">
        <v>5</v>
      </c>
      <c r="D19" s="35" t="n">
        <v>25</v>
      </c>
      <c r="E19" s="35" t="n">
        <v>23</v>
      </c>
      <c r="F19" s="35" t="n">
        <v>18</v>
      </c>
      <c r="G19" s="35" t="n">
        <v>22</v>
      </c>
      <c r="H19" s="35" t="n">
        <v>3</v>
      </c>
      <c r="I19" s="14" t="n">
        <v>185698</v>
      </c>
      <c r="J19" s="14" t="n">
        <v>5262</v>
      </c>
      <c r="K19" s="36" t="n">
        <v>0.00105324074074074</v>
      </c>
      <c r="L19" s="24" t="n">
        <f aca="false">ROUND(K19*86400,3)</f>
        <v>91</v>
      </c>
      <c r="M19" s="18" t="n">
        <f aca="false">L19/D19</f>
        <v>3.64</v>
      </c>
      <c r="N19" s="37" t="n">
        <f aca="false">I19/D19</f>
        <v>7427.92</v>
      </c>
      <c r="O19" s="34" t="str">
        <f aca="false">IF(D19=G19+H19,"OK","≠")</f>
        <v>OK</v>
      </c>
      <c r="P19" s="18" t="n">
        <f aca="false">B19+(C19-3)*0.08</f>
        <v>3.16</v>
      </c>
    </row>
    <row r="20" customFormat="false" ht="15" hidden="false" customHeight="false" outlineLevel="0" collapsed="false">
      <c r="A20" s="34" t="s">
        <v>76</v>
      </c>
      <c r="B20" s="35" t="n">
        <v>4</v>
      </c>
      <c r="C20" s="35" t="n">
        <v>1</v>
      </c>
      <c r="D20" s="35" t="n">
        <v>40</v>
      </c>
      <c r="E20" s="35" t="n">
        <v>44</v>
      </c>
      <c r="F20" s="35" t="n">
        <v>15</v>
      </c>
      <c r="G20" s="35" t="n">
        <v>35</v>
      </c>
      <c r="H20" s="35" t="n">
        <v>5</v>
      </c>
      <c r="I20" s="14" t="n">
        <v>403316</v>
      </c>
      <c r="J20" s="14" t="n">
        <v>8524</v>
      </c>
      <c r="K20" s="36" t="n">
        <v>0.00188657407407407</v>
      </c>
      <c r="L20" s="24" t="n">
        <f aca="false">ROUND(K20*86400,3)</f>
        <v>163</v>
      </c>
      <c r="M20" s="18" t="n">
        <f aca="false">L20/D20</f>
        <v>4.075</v>
      </c>
      <c r="N20" s="37" t="n">
        <f aca="false">I20/D20</f>
        <v>10082.9</v>
      </c>
      <c r="O20" s="34" t="str">
        <f aca="false">IF(D20=G20+H20,"OK","≠")</f>
        <v>OK</v>
      </c>
      <c r="P20" s="18" t="n">
        <f aca="false">B20+(C20-3)*0.08</f>
        <v>3.84</v>
      </c>
    </row>
    <row r="21" customFormat="false" ht="15" hidden="false" customHeight="false" outlineLevel="0" collapsed="false">
      <c r="A21" s="34" t="s">
        <v>76</v>
      </c>
      <c r="B21" s="35" t="n">
        <v>4</v>
      </c>
      <c r="C21" s="35" t="n">
        <v>2</v>
      </c>
      <c r="D21" s="35" t="n">
        <v>40</v>
      </c>
      <c r="E21" s="35" t="n">
        <v>44</v>
      </c>
      <c r="F21" s="35" t="n">
        <v>15</v>
      </c>
      <c r="G21" s="35" t="n">
        <v>35</v>
      </c>
      <c r="H21" s="35" t="n">
        <v>5</v>
      </c>
      <c r="I21" s="14" t="n">
        <v>179229</v>
      </c>
      <c r="J21" s="14" t="n">
        <v>5600</v>
      </c>
      <c r="K21" s="36" t="n">
        <v>0.00142361111111111</v>
      </c>
      <c r="L21" s="24" t="n">
        <f aca="false">ROUND(K21*86400,3)</f>
        <v>123</v>
      </c>
      <c r="M21" s="18" t="n">
        <f aca="false">L21/D21</f>
        <v>3.075</v>
      </c>
      <c r="N21" s="37" t="n">
        <f aca="false">I21/D21</f>
        <v>4480.725</v>
      </c>
      <c r="O21" s="34" t="str">
        <f aca="false">IF(D21=G21+H21,"OK","≠")</f>
        <v>OK</v>
      </c>
      <c r="P21" s="18" t="n">
        <f aca="false">B21+(C21-3)*0.08</f>
        <v>3.92</v>
      </c>
    </row>
    <row r="22" customFormat="false" ht="15" hidden="false" customHeight="false" outlineLevel="0" collapsed="false">
      <c r="A22" s="34" t="s">
        <v>76</v>
      </c>
      <c r="B22" s="35" t="n">
        <v>4</v>
      </c>
      <c r="C22" s="35" t="n">
        <v>3</v>
      </c>
      <c r="D22" s="35" t="n">
        <v>40</v>
      </c>
      <c r="E22" s="35" t="n">
        <v>44</v>
      </c>
      <c r="F22" s="35" t="n">
        <v>15</v>
      </c>
      <c r="G22" s="35" t="n">
        <v>35</v>
      </c>
      <c r="H22" s="35" t="n">
        <v>5</v>
      </c>
      <c r="I22" s="14" t="n">
        <v>381721</v>
      </c>
      <c r="J22" s="14" t="n">
        <v>9078</v>
      </c>
      <c r="K22" s="36" t="n">
        <v>0.00179398148148148</v>
      </c>
      <c r="L22" s="24" t="n">
        <f aca="false">ROUND(K22*86400,3)</f>
        <v>155</v>
      </c>
      <c r="M22" s="18" t="n">
        <f aca="false">L22/D22</f>
        <v>3.875</v>
      </c>
      <c r="N22" s="37" t="n">
        <f aca="false">I22/D22</f>
        <v>9543.025</v>
      </c>
      <c r="O22" s="34" t="str">
        <f aca="false">IF(D22=G22+H22,"OK","≠")</f>
        <v>OK</v>
      </c>
      <c r="P22" s="18" t="n">
        <f aca="false">B22+(C22-3)*0.08</f>
        <v>4</v>
      </c>
    </row>
    <row r="23" customFormat="false" ht="15" hidden="false" customHeight="false" outlineLevel="0" collapsed="false">
      <c r="A23" s="34" t="s">
        <v>76</v>
      </c>
      <c r="B23" s="35" t="n">
        <v>4</v>
      </c>
      <c r="C23" s="35" t="n">
        <v>4</v>
      </c>
      <c r="D23" s="35" t="n">
        <v>40</v>
      </c>
      <c r="E23" s="35" t="n">
        <v>44</v>
      </c>
      <c r="F23" s="35" t="n">
        <v>15</v>
      </c>
      <c r="G23" s="35" t="n">
        <v>35</v>
      </c>
      <c r="H23" s="35" t="n">
        <v>5</v>
      </c>
      <c r="I23" s="14" t="n">
        <v>426328</v>
      </c>
      <c r="J23" s="14" t="n">
        <v>8582</v>
      </c>
      <c r="K23" s="36" t="n">
        <v>0.00167824074074074</v>
      </c>
      <c r="L23" s="24" t="n">
        <f aca="false">ROUND(K23*86400,3)</f>
        <v>145</v>
      </c>
      <c r="M23" s="18" t="n">
        <f aca="false">L23/D23</f>
        <v>3.625</v>
      </c>
      <c r="N23" s="37" t="n">
        <f aca="false">I23/D23</f>
        <v>10658.2</v>
      </c>
      <c r="O23" s="34" t="str">
        <f aca="false">IF(D23=G23+H23,"OK","≠")</f>
        <v>OK</v>
      </c>
      <c r="P23" s="18" t="n">
        <f aca="false">B23+(C23-3)*0.08</f>
        <v>4.08</v>
      </c>
    </row>
    <row r="24" customFormat="false" ht="15" hidden="false" customHeight="false" outlineLevel="0" collapsed="false">
      <c r="A24" s="34" t="s">
        <v>76</v>
      </c>
      <c r="B24" s="35" t="n">
        <v>4</v>
      </c>
      <c r="C24" s="35" t="n">
        <v>5</v>
      </c>
      <c r="D24" s="35" t="n">
        <v>40</v>
      </c>
      <c r="E24" s="35" t="n">
        <v>44</v>
      </c>
      <c r="F24" s="35" t="n">
        <v>15</v>
      </c>
      <c r="G24" s="35" t="n">
        <v>35</v>
      </c>
      <c r="H24" s="35" t="n">
        <v>5</v>
      </c>
      <c r="I24" s="14" t="n">
        <v>714445</v>
      </c>
      <c r="J24" s="14" t="n">
        <v>10901</v>
      </c>
      <c r="K24" s="36" t="n">
        <v>0.00168981481481482</v>
      </c>
      <c r="L24" s="24" t="n">
        <f aca="false">ROUND(K24*86400,3)</f>
        <v>146</v>
      </c>
      <c r="M24" s="18" t="n">
        <f aca="false">L24/D24</f>
        <v>3.65</v>
      </c>
      <c r="N24" s="37" t="n">
        <f aca="false">I24/D24</f>
        <v>17861.125</v>
      </c>
      <c r="O24" s="34" t="str">
        <f aca="false">IF(D24=G24+H24,"OK","≠")</f>
        <v>OK</v>
      </c>
      <c r="P24" s="18" t="n">
        <f aca="false">B24+(C24-3)*0.08</f>
        <v>4.16</v>
      </c>
    </row>
    <row r="25" customFormat="false" ht="15" hidden="false" customHeight="false" outlineLevel="0" collapsed="false">
      <c r="A25" s="34" t="s">
        <v>77</v>
      </c>
      <c r="B25" s="35" t="n">
        <v>5</v>
      </c>
      <c r="C25" s="35" t="n">
        <v>1</v>
      </c>
      <c r="D25" s="35" t="n">
        <v>13</v>
      </c>
      <c r="E25" s="35" t="n">
        <v>7</v>
      </c>
      <c r="F25" s="35" t="n">
        <v>29</v>
      </c>
      <c r="G25" s="35" t="n">
        <v>10</v>
      </c>
      <c r="H25" s="35" t="n">
        <v>3</v>
      </c>
      <c r="I25" s="14" t="n">
        <v>48942</v>
      </c>
      <c r="J25" s="14" t="n">
        <v>3325</v>
      </c>
      <c r="K25" s="36" t="n">
        <v>0.00056712962962963</v>
      </c>
      <c r="L25" s="24" t="n">
        <f aca="false">ROUND(K25*86400,3)</f>
        <v>49</v>
      </c>
      <c r="M25" s="18" t="n">
        <f aca="false">L25/D25</f>
        <v>3.76923076923077</v>
      </c>
      <c r="N25" s="37" t="n">
        <f aca="false">I25/D25</f>
        <v>3764.76923076923</v>
      </c>
      <c r="O25" s="34" t="str">
        <f aca="false">IF(D25=G25+H25,"OK","≠")</f>
        <v>OK</v>
      </c>
      <c r="P25" s="18" t="n">
        <f aca="false">B25+(C25-3)*0.08</f>
        <v>4.84</v>
      </c>
    </row>
    <row r="26" customFormat="false" ht="15" hidden="false" customHeight="false" outlineLevel="0" collapsed="false">
      <c r="A26" s="34" t="s">
        <v>77</v>
      </c>
      <c r="B26" s="35" t="n">
        <v>5</v>
      </c>
      <c r="C26" s="35" t="n">
        <v>2</v>
      </c>
      <c r="D26" s="35" t="n">
        <v>13</v>
      </c>
      <c r="E26" s="35" t="n">
        <v>7</v>
      </c>
      <c r="F26" s="35" t="n">
        <v>29</v>
      </c>
      <c r="G26" s="35" t="n">
        <v>10</v>
      </c>
      <c r="H26" s="35" t="n">
        <v>3</v>
      </c>
      <c r="I26" s="14" t="n">
        <v>44991</v>
      </c>
      <c r="J26" s="14" t="n">
        <v>3692</v>
      </c>
      <c r="K26" s="36" t="n">
        <v>0.000833333333333333</v>
      </c>
      <c r="L26" s="24" t="n">
        <f aca="false">ROUND(K26*86400,3)</f>
        <v>72</v>
      </c>
      <c r="M26" s="18" t="n">
        <f aca="false">L26/D26</f>
        <v>5.53846153846154</v>
      </c>
      <c r="N26" s="37" t="n">
        <f aca="false">I26/D26</f>
        <v>3460.84615384615</v>
      </c>
      <c r="O26" s="34" t="str">
        <f aca="false">IF(D26=G26+H26,"OK","≠")</f>
        <v>OK</v>
      </c>
      <c r="P26" s="18" t="n">
        <f aca="false">B26+(C26-3)*0.08</f>
        <v>4.92</v>
      </c>
    </row>
    <row r="27" customFormat="false" ht="15" hidden="false" customHeight="false" outlineLevel="0" collapsed="false">
      <c r="A27" s="34" t="s">
        <v>77</v>
      </c>
      <c r="B27" s="35" t="n">
        <v>5</v>
      </c>
      <c r="C27" s="35" t="n">
        <v>3</v>
      </c>
      <c r="D27" s="35" t="n">
        <v>13</v>
      </c>
      <c r="E27" s="35" t="n">
        <v>7</v>
      </c>
      <c r="F27" s="35" t="n">
        <v>29</v>
      </c>
      <c r="G27" s="35" t="n">
        <v>10</v>
      </c>
      <c r="H27" s="35" t="n">
        <v>3</v>
      </c>
      <c r="I27" s="14" t="n">
        <v>49630</v>
      </c>
      <c r="J27" s="14" t="n">
        <v>3477</v>
      </c>
      <c r="K27" s="36" t="n">
        <v>0.000763888888888889</v>
      </c>
      <c r="L27" s="24" t="n">
        <f aca="false">ROUND(K27*86400,3)</f>
        <v>66</v>
      </c>
      <c r="M27" s="18" t="n">
        <f aca="false">L27/D27</f>
        <v>5.07692307692308</v>
      </c>
      <c r="N27" s="37" t="n">
        <f aca="false">I27/D27</f>
        <v>3817.69230769231</v>
      </c>
      <c r="O27" s="34" t="str">
        <f aca="false">IF(D27=G27+H27,"OK","≠")</f>
        <v>OK</v>
      </c>
      <c r="P27" s="18" t="n">
        <f aca="false">B27+(C27-3)*0.08</f>
        <v>5</v>
      </c>
    </row>
    <row r="28" customFormat="false" ht="15" hidden="false" customHeight="false" outlineLevel="0" collapsed="false">
      <c r="A28" s="34" t="s">
        <v>77</v>
      </c>
      <c r="B28" s="35" t="n">
        <v>5</v>
      </c>
      <c r="C28" s="35" t="n">
        <v>4</v>
      </c>
      <c r="D28" s="35" t="n">
        <v>13</v>
      </c>
      <c r="E28" s="35" t="n">
        <v>7</v>
      </c>
      <c r="F28" s="35" t="n">
        <v>29</v>
      </c>
      <c r="G28" s="35" t="n">
        <v>10</v>
      </c>
      <c r="H28" s="35" t="n">
        <v>3</v>
      </c>
      <c r="I28" s="14" t="n">
        <v>49524</v>
      </c>
      <c r="J28" s="14" t="n">
        <v>4084</v>
      </c>
      <c r="K28" s="36" t="n">
        <v>0.000717592592592593</v>
      </c>
      <c r="L28" s="24" t="n">
        <f aca="false">ROUND(K28*86400,3)</f>
        <v>62</v>
      </c>
      <c r="M28" s="18" t="n">
        <f aca="false">L28/D28</f>
        <v>4.76923076923077</v>
      </c>
      <c r="N28" s="37" t="n">
        <f aca="false">I28/D28</f>
        <v>3809.53846153846</v>
      </c>
      <c r="O28" s="34" t="str">
        <f aca="false">IF(D28=G28+H28,"OK","≠")</f>
        <v>OK</v>
      </c>
      <c r="P28" s="18" t="n">
        <f aca="false">B28+(C28-3)*0.08</f>
        <v>5.08</v>
      </c>
    </row>
    <row r="29" customFormat="false" ht="15" hidden="false" customHeight="false" outlineLevel="0" collapsed="false">
      <c r="A29" s="34" t="s">
        <v>77</v>
      </c>
      <c r="B29" s="35" t="n">
        <v>5</v>
      </c>
      <c r="C29" s="35" t="n">
        <v>5</v>
      </c>
      <c r="D29" s="35" t="n">
        <v>13</v>
      </c>
      <c r="E29" s="35" t="n">
        <v>7</v>
      </c>
      <c r="F29" s="35" t="n">
        <v>29</v>
      </c>
      <c r="G29" s="35" t="n">
        <v>10</v>
      </c>
      <c r="H29" s="35" t="n">
        <v>3</v>
      </c>
      <c r="I29" s="14" t="n">
        <v>50712</v>
      </c>
      <c r="J29" s="14" t="n">
        <v>4084</v>
      </c>
      <c r="K29" s="36" t="n">
        <v>0.000833333333333333</v>
      </c>
      <c r="L29" s="24" t="n">
        <f aca="false">ROUND(K29*86400,3)</f>
        <v>72</v>
      </c>
      <c r="M29" s="18" t="n">
        <f aca="false">L29/D29</f>
        <v>5.53846153846154</v>
      </c>
      <c r="N29" s="37" t="n">
        <f aca="false">I29/D29</f>
        <v>3900.92307692308</v>
      </c>
      <c r="O29" s="34" t="str">
        <f aca="false">IF(D29=G29+H29,"OK","≠")</f>
        <v>OK</v>
      </c>
      <c r="P29" s="18" t="n">
        <f aca="false">B29+(C29-3)*0.08</f>
        <v>5.16</v>
      </c>
    </row>
    <row r="30" customFormat="false" ht="15" hidden="false" customHeight="false" outlineLevel="0" collapsed="false">
      <c r="A30" s="34" t="s">
        <v>78</v>
      </c>
      <c r="B30" s="35" t="n">
        <v>6</v>
      </c>
      <c r="C30" s="35" t="n">
        <v>1</v>
      </c>
      <c r="D30" s="35" t="n">
        <v>19</v>
      </c>
      <c r="E30" s="35" t="n">
        <v>23</v>
      </c>
      <c r="F30" s="35" t="n">
        <v>15</v>
      </c>
      <c r="G30" s="35" t="n">
        <v>17</v>
      </c>
      <c r="H30" s="35" t="n">
        <v>2</v>
      </c>
      <c r="I30" s="14" t="n">
        <v>97126</v>
      </c>
      <c r="J30" s="14" t="n">
        <v>4889</v>
      </c>
      <c r="K30" s="36" t="n">
        <v>0.000706018518518519</v>
      </c>
      <c r="L30" s="24" t="n">
        <f aca="false">ROUND(K30*86400,3)</f>
        <v>61</v>
      </c>
      <c r="M30" s="18" t="n">
        <f aca="false">L30/D30</f>
        <v>3.21052631578947</v>
      </c>
      <c r="N30" s="37" t="n">
        <f aca="false">I30/D30</f>
        <v>5111.89473684211</v>
      </c>
      <c r="O30" s="34" t="str">
        <f aca="false">IF(D30=G30+H30,"OK","≠")</f>
        <v>OK</v>
      </c>
      <c r="P30" s="18" t="n">
        <f aca="false">B30+(C30-3)*0.08</f>
        <v>5.84</v>
      </c>
    </row>
    <row r="31" customFormat="false" ht="15" hidden="false" customHeight="false" outlineLevel="0" collapsed="false">
      <c r="A31" s="34" t="s">
        <v>78</v>
      </c>
      <c r="B31" s="35" t="n">
        <v>6</v>
      </c>
      <c r="C31" s="35" t="n">
        <v>2</v>
      </c>
      <c r="D31" s="35" t="n">
        <v>19</v>
      </c>
      <c r="E31" s="35" t="n">
        <v>23</v>
      </c>
      <c r="F31" s="35" t="n">
        <v>15</v>
      </c>
      <c r="G31" s="35" t="n">
        <v>17</v>
      </c>
      <c r="H31" s="35" t="n">
        <v>2</v>
      </c>
      <c r="I31" s="14" t="n">
        <v>94564</v>
      </c>
      <c r="J31" s="14" t="n">
        <v>3462</v>
      </c>
      <c r="K31" s="36" t="n">
        <v>0.000798611111111111</v>
      </c>
      <c r="L31" s="24" t="n">
        <f aca="false">ROUND(K31*86400,3)</f>
        <v>69</v>
      </c>
      <c r="M31" s="18" t="n">
        <f aca="false">L31/D31</f>
        <v>3.63157894736842</v>
      </c>
      <c r="N31" s="37" t="n">
        <f aca="false">I31/D31</f>
        <v>4977.05263157895</v>
      </c>
      <c r="O31" s="34" t="str">
        <f aca="false">IF(D31=G31+H31,"OK","≠")</f>
        <v>OK</v>
      </c>
      <c r="P31" s="18" t="n">
        <f aca="false">B31+(C31-3)*0.08</f>
        <v>5.92</v>
      </c>
    </row>
    <row r="32" customFormat="false" ht="15" hidden="false" customHeight="false" outlineLevel="0" collapsed="false">
      <c r="A32" s="34" t="s">
        <v>78</v>
      </c>
      <c r="B32" s="35" t="n">
        <v>6</v>
      </c>
      <c r="C32" s="35" t="n">
        <v>3</v>
      </c>
      <c r="D32" s="35" t="n">
        <v>19</v>
      </c>
      <c r="E32" s="35" t="n">
        <v>23</v>
      </c>
      <c r="F32" s="35" t="n">
        <v>15</v>
      </c>
      <c r="G32" s="35" t="n">
        <v>17</v>
      </c>
      <c r="H32" s="35" t="n">
        <v>2</v>
      </c>
      <c r="I32" s="14" t="n">
        <v>91454</v>
      </c>
      <c r="J32" s="14" t="n">
        <v>3334</v>
      </c>
      <c r="K32" s="36" t="n">
        <v>0.000775462962962963</v>
      </c>
      <c r="L32" s="24" t="n">
        <f aca="false">ROUND(K32*86400,3)</f>
        <v>67</v>
      </c>
      <c r="M32" s="18" t="n">
        <f aca="false">L32/D32</f>
        <v>3.52631578947368</v>
      </c>
      <c r="N32" s="37" t="n">
        <f aca="false">I32/D32</f>
        <v>4813.36842105263</v>
      </c>
      <c r="O32" s="34" t="str">
        <f aca="false">IF(D32=G32+H32,"OK","≠")</f>
        <v>OK</v>
      </c>
      <c r="P32" s="18" t="n">
        <f aca="false">B32+(C32-3)*0.08</f>
        <v>6</v>
      </c>
    </row>
    <row r="33" customFormat="false" ht="15" hidden="false" customHeight="false" outlineLevel="0" collapsed="false">
      <c r="A33" s="34" t="s">
        <v>78</v>
      </c>
      <c r="B33" s="35" t="n">
        <v>6</v>
      </c>
      <c r="C33" s="35" t="n">
        <v>4</v>
      </c>
      <c r="D33" s="35" t="n">
        <v>19</v>
      </c>
      <c r="E33" s="35" t="n">
        <v>23</v>
      </c>
      <c r="F33" s="35" t="n">
        <v>15</v>
      </c>
      <c r="G33" s="35" t="n">
        <v>17</v>
      </c>
      <c r="H33" s="35" t="n">
        <v>2</v>
      </c>
      <c r="I33" s="14" t="n">
        <v>94256</v>
      </c>
      <c r="J33" s="14" t="n">
        <v>3740</v>
      </c>
      <c r="K33" s="36" t="n">
        <v>0.00101851851851852</v>
      </c>
      <c r="L33" s="24" t="n">
        <f aca="false">ROUND(K33*86400,3)</f>
        <v>88</v>
      </c>
      <c r="M33" s="18" t="n">
        <f aca="false">L33/D33</f>
        <v>4.63157894736842</v>
      </c>
      <c r="N33" s="37" t="n">
        <f aca="false">I33/D33</f>
        <v>4960.84210526316</v>
      </c>
      <c r="O33" s="34" t="str">
        <f aca="false">IF(D33=G33+H33,"OK","≠")</f>
        <v>OK</v>
      </c>
      <c r="P33" s="18" t="n">
        <f aca="false">B33+(C33-3)*0.08</f>
        <v>6.08</v>
      </c>
    </row>
    <row r="34" customFormat="false" ht="15" hidden="false" customHeight="false" outlineLevel="0" collapsed="false">
      <c r="A34" s="34" t="s">
        <v>78</v>
      </c>
      <c r="B34" s="35" t="n">
        <v>6</v>
      </c>
      <c r="C34" s="35" t="n">
        <v>5</v>
      </c>
      <c r="D34" s="35" t="n">
        <v>19</v>
      </c>
      <c r="E34" s="35" t="n">
        <v>23</v>
      </c>
      <c r="F34" s="35" t="n">
        <v>15</v>
      </c>
      <c r="G34" s="35" t="n">
        <v>17</v>
      </c>
      <c r="H34" s="35" t="n">
        <v>2</v>
      </c>
      <c r="I34" s="14" t="n">
        <v>96355</v>
      </c>
      <c r="J34" s="14" t="n">
        <v>3690</v>
      </c>
      <c r="K34" s="36" t="n">
        <v>0.000740740740740741</v>
      </c>
      <c r="L34" s="24" t="n">
        <f aca="false">ROUND(K34*86400,3)</f>
        <v>64</v>
      </c>
      <c r="M34" s="18" t="n">
        <f aca="false">L34/D34</f>
        <v>3.36842105263158</v>
      </c>
      <c r="N34" s="37" t="n">
        <f aca="false">I34/D34</f>
        <v>5071.31578947368</v>
      </c>
      <c r="O34" s="34" t="str">
        <f aca="false">IF(D34=G34+H34,"OK","≠")</f>
        <v>OK</v>
      </c>
      <c r="P34" s="18" t="n">
        <f aca="false">B34+(C34-3)*0.08</f>
        <v>6.16</v>
      </c>
    </row>
    <row r="36" customFormat="false" ht="15" hidden="false" customHeight="false" outlineLevel="0" collapsed="false">
      <c r="A36" s="32" t="s">
        <v>106</v>
      </c>
    </row>
    <row r="37" customFormat="false" ht="45" hidden="false" customHeight="true" outlineLevel="0" collapsed="false">
      <c r="A37" s="7" t="s">
        <v>53</v>
      </c>
      <c r="B37" s="7" t="s">
        <v>107</v>
      </c>
      <c r="C37" s="7" t="s">
        <v>108</v>
      </c>
      <c r="D37" s="7" t="s">
        <v>109</v>
      </c>
      <c r="E37" s="7" t="s">
        <v>110</v>
      </c>
      <c r="F37" s="7" t="s">
        <v>111</v>
      </c>
      <c r="G37" s="7" t="s">
        <v>112</v>
      </c>
      <c r="H37" s="7" t="s">
        <v>113</v>
      </c>
      <c r="I37" s="7" t="s">
        <v>114</v>
      </c>
      <c r="J37" s="7" t="s">
        <v>115</v>
      </c>
      <c r="K37" s="7" t="s">
        <v>116</v>
      </c>
    </row>
    <row r="38" customFormat="false" ht="15" hidden="false" customHeight="false" outlineLevel="0" collapsed="false">
      <c r="A38" s="12" t="s">
        <v>73</v>
      </c>
      <c r="B38" s="22" t="n">
        <f aca="false">AVERAGE(L5:L9)</f>
        <v>240.6</v>
      </c>
      <c r="C38" s="22" t="n">
        <f aca="false">STDEV(L5:L9)</f>
        <v>42.7586248609564</v>
      </c>
      <c r="D38" s="23" t="n">
        <f aca="false">C38/B38</f>
        <v>0.177716645307383</v>
      </c>
      <c r="E38" s="24" t="n">
        <f aca="false">MIN(L5:L9)</f>
        <v>181</v>
      </c>
      <c r="F38" s="24" t="n">
        <f aca="false">MAX(L5:L9)</f>
        <v>286</v>
      </c>
      <c r="G38" s="22" t="n">
        <f aca="false">AVERAGE(D5:D9)</f>
        <v>65.6</v>
      </c>
      <c r="H38" s="37" t="n">
        <f aca="false">AVERAGE(I5:I9)</f>
        <v>726382.2</v>
      </c>
      <c r="I38" s="23" t="n">
        <f aca="false">STDEV(I5:I9)/AVERAGE(I5:I9)</f>
        <v>0.745312544863829</v>
      </c>
      <c r="J38" s="37" t="n">
        <f aca="false">AVERAGE(J5:J9)</f>
        <v>11755.4</v>
      </c>
      <c r="K38" s="18" t="n">
        <f aca="false">B38/G38</f>
        <v>3.66768292682927</v>
      </c>
    </row>
    <row r="39" customFormat="false" ht="15" hidden="false" customHeight="false" outlineLevel="0" collapsed="false">
      <c r="A39" s="12" t="s">
        <v>74</v>
      </c>
      <c r="B39" s="22" t="n">
        <f aca="false">AVERAGE(L10:L14)</f>
        <v>74.2</v>
      </c>
      <c r="C39" s="22" t="n">
        <f aca="false">STDEV(L10:L14)</f>
        <v>14.2021125189177</v>
      </c>
      <c r="D39" s="23" t="n">
        <f aca="false">C39/B39</f>
        <v>0.191403133678137</v>
      </c>
      <c r="E39" s="24" t="n">
        <f aca="false">MIN(L10:L14)</f>
        <v>53</v>
      </c>
      <c r="F39" s="24" t="n">
        <f aca="false">MAX(L10:L14)</f>
        <v>91</v>
      </c>
      <c r="G39" s="22" t="n">
        <f aca="false">AVERAGE(D10:D14)</f>
        <v>22.6</v>
      </c>
      <c r="H39" s="37" t="n">
        <f aca="false">AVERAGE(I10:I14)</f>
        <v>90482.6</v>
      </c>
      <c r="I39" s="23" t="n">
        <f aca="false">STDEV(I10:I14)/AVERAGE(I10:I14)</f>
        <v>0.211728467591727</v>
      </c>
      <c r="J39" s="37" t="n">
        <f aca="false">AVERAGE(J10:J14)</f>
        <v>3302.4</v>
      </c>
      <c r="K39" s="18" t="n">
        <f aca="false">B39/G39</f>
        <v>3.28318584070796</v>
      </c>
    </row>
    <row r="40" customFormat="false" ht="15" hidden="false" customHeight="false" outlineLevel="0" collapsed="false">
      <c r="A40" s="12" t="s">
        <v>75</v>
      </c>
      <c r="B40" s="22" t="n">
        <f aca="false">AVERAGE(L15:L19)</f>
        <v>97.4</v>
      </c>
      <c r="C40" s="22" t="n">
        <f aca="false">STDEV(L15:L19)</f>
        <v>11.8025420990565</v>
      </c>
      <c r="D40" s="23" t="n">
        <f aca="false">C40/B40</f>
        <v>0.121175996910231</v>
      </c>
      <c r="E40" s="24" t="n">
        <f aca="false">MIN(L15:L19)</f>
        <v>81</v>
      </c>
      <c r="F40" s="24" t="n">
        <f aca="false">MAX(L15:L19)</f>
        <v>109</v>
      </c>
      <c r="G40" s="22" t="n">
        <f aca="false">AVERAGE(D15:D19)</f>
        <v>25.4</v>
      </c>
      <c r="H40" s="37" t="n">
        <f aca="false">AVERAGE(I15:I19)</f>
        <v>191428.8</v>
      </c>
      <c r="I40" s="23" t="n">
        <f aca="false">STDEV(I15:I19)/AVERAGE(I15:I19)</f>
        <v>0.0545566494295192</v>
      </c>
      <c r="J40" s="37" t="n">
        <f aca="false">AVERAGE(J15:J19)</f>
        <v>5586.2</v>
      </c>
      <c r="K40" s="18" t="n">
        <f aca="false">B40/G40</f>
        <v>3.83464566929134</v>
      </c>
    </row>
    <row r="41" customFormat="false" ht="15" hidden="false" customHeight="false" outlineLevel="0" collapsed="false">
      <c r="A41" s="12" t="s">
        <v>76</v>
      </c>
      <c r="B41" s="22" t="n">
        <f aca="false">AVERAGE(L20:L24)</f>
        <v>146.4</v>
      </c>
      <c r="C41" s="22" t="n">
        <f aca="false">STDEV(L20:L24)</f>
        <v>14.9933318511931</v>
      </c>
      <c r="D41" s="23" t="n">
        <f aca="false">C41/B41</f>
        <v>0.102413468928914</v>
      </c>
      <c r="E41" s="24" t="n">
        <f aca="false">MIN(L20:L24)</f>
        <v>123</v>
      </c>
      <c r="F41" s="24" t="n">
        <f aca="false">MAX(L20:L24)</f>
        <v>163</v>
      </c>
      <c r="G41" s="22" t="n">
        <f aca="false">AVERAGE(D20:D24)</f>
        <v>40</v>
      </c>
      <c r="H41" s="37" t="n">
        <f aca="false">AVERAGE(I20:I24)</f>
        <v>421007.8</v>
      </c>
      <c r="I41" s="23" t="n">
        <f aca="false">STDEV(I20:I24)/AVERAGE(I20:I24)</f>
        <v>0.454485783474469</v>
      </c>
      <c r="J41" s="37" t="n">
        <f aca="false">AVERAGE(J20:J24)</f>
        <v>8537</v>
      </c>
      <c r="K41" s="18" t="n">
        <f aca="false">B41/G41</f>
        <v>3.66</v>
      </c>
    </row>
    <row r="42" customFormat="false" ht="15" hidden="false" customHeight="false" outlineLevel="0" collapsed="false">
      <c r="A42" s="12" t="s">
        <v>77</v>
      </c>
      <c r="B42" s="22" t="n">
        <f aca="false">AVERAGE(L25:L29)</f>
        <v>64.2</v>
      </c>
      <c r="C42" s="22" t="n">
        <f aca="false">STDEV(L25:L29)</f>
        <v>9.49736805646701</v>
      </c>
      <c r="D42" s="23" t="n">
        <f aca="false">C42/B42</f>
        <v>0.147934081876433</v>
      </c>
      <c r="E42" s="24" t="n">
        <f aca="false">MIN(L25:L29)</f>
        <v>49</v>
      </c>
      <c r="F42" s="24" t="n">
        <f aca="false">MAX(L25:L29)</f>
        <v>72</v>
      </c>
      <c r="G42" s="22" t="n">
        <f aca="false">AVERAGE(D25:D29)</f>
        <v>13</v>
      </c>
      <c r="H42" s="37" t="n">
        <f aca="false">AVERAGE(I25:I29)</f>
        <v>48759.8</v>
      </c>
      <c r="I42" s="23" t="n">
        <f aca="false">STDEV(I25:I29)/AVERAGE(I25:I29)</f>
        <v>0.0451533631774334</v>
      </c>
      <c r="J42" s="37" t="n">
        <f aca="false">AVERAGE(J25:J29)</f>
        <v>3732.4</v>
      </c>
      <c r="K42" s="18" t="n">
        <f aca="false">B42/G42</f>
        <v>4.93846153846154</v>
      </c>
    </row>
    <row r="43" customFormat="false" ht="15" hidden="false" customHeight="false" outlineLevel="0" collapsed="false">
      <c r="A43" s="12" t="s">
        <v>78</v>
      </c>
      <c r="B43" s="22" t="n">
        <f aca="false">AVERAGE(L30:L34)</f>
        <v>69.8</v>
      </c>
      <c r="C43" s="22" t="n">
        <f aca="false">STDEV(L30:L34)</f>
        <v>10.6160256216722</v>
      </c>
      <c r="D43" s="23" t="n">
        <f aca="false">C43/B43</f>
        <v>0.15209205761708</v>
      </c>
      <c r="E43" s="24" t="n">
        <f aca="false">MIN(L30:L34)</f>
        <v>61</v>
      </c>
      <c r="F43" s="24" t="n">
        <f aca="false">MAX(L30:L34)</f>
        <v>88</v>
      </c>
      <c r="G43" s="22" t="n">
        <f aca="false">AVERAGE(D30:D34)</f>
        <v>19</v>
      </c>
      <c r="H43" s="37" t="n">
        <f aca="false">AVERAGE(I30:I34)</f>
        <v>94751</v>
      </c>
      <c r="I43" s="23" t="n">
        <f aca="false">STDEV(I30:I34)/AVERAGE(I30:I34)</f>
        <v>0.0232209373591073</v>
      </c>
      <c r="J43" s="37" t="n">
        <f aca="false">AVERAGE(J30:J34)</f>
        <v>3823</v>
      </c>
      <c r="K43" s="18" t="n">
        <f aca="false">B43/G43</f>
        <v>3.67368421052632</v>
      </c>
    </row>
    <row r="44" customFormat="false" ht="15" hidden="false" customHeight="false" outlineLevel="0" collapsed="false">
      <c r="A44" s="25" t="s">
        <v>117</v>
      </c>
      <c r="B44" s="28" t="n">
        <f aca="false">AVERAGE(L5:L34)</f>
        <v>115.433333333333</v>
      </c>
      <c r="C44" s="28" t="n">
        <f aca="false">STDEV(L5:L34)</f>
        <v>66.2230730357543</v>
      </c>
      <c r="D44" s="31" t="n">
        <f aca="false">C44/B44</f>
        <v>0.57369107452285</v>
      </c>
      <c r="E44" s="26" t="n">
        <f aca="false">MIN(L5:L34)</f>
        <v>49</v>
      </c>
      <c r="F44" s="26" t="n">
        <f aca="false">MAX(L5:L34)</f>
        <v>286</v>
      </c>
      <c r="G44" s="28" t="n">
        <f aca="false">AVERAGE(D5:D34)</f>
        <v>30.9333333333333</v>
      </c>
      <c r="H44" s="27" t="n">
        <f aca="false">AVERAGE(I5:I34)</f>
        <v>262135.366666667</v>
      </c>
      <c r="I44" s="31" t="n">
        <f aca="false">STDEV(I5:I34)/AVERAGE(I5:I34)</f>
        <v>1.24012577283024</v>
      </c>
      <c r="J44" s="27" t="n">
        <f aca="false">AVERAGE(J5:J34)</f>
        <v>6122.73333333333</v>
      </c>
      <c r="K44" s="29" t="n">
        <f aca="false">SUM(L5:L34)/SUM(D5:D34)</f>
        <v>3.73168103448276</v>
      </c>
    </row>
    <row r="47" customFormat="false" ht="15" hidden="false" customHeight="false" outlineLevel="0" collapsed="false">
      <c r="A47" s="32" t="s">
        <v>118</v>
      </c>
    </row>
    <row r="48" customFormat="false" ht="15" hidden="false" customHeight="false" outlineLevel="0" collapsed="false">
      <c r="A48" s="12" t="s">
        <v>94</v>
      </c>
      <c r="B48" s="33" t="n">
        <f aca="false">CORREL($L$5:$L$34,D5:D34)</f>
        <v>0.955711383973598</v>
      </c>
    </row>
    <row r="49" customFormat="false" ht="15" hidden="false" customHeight="false" outlineLevel="0" collapsed="false">
      <c r="A49" s="12" t="s">
        <v>99</v>
      </c>
      <c r="B49" s="33" t="n">
        <f aca="false">CORREL($L$5:$L$34,I5:I34)</f>
        <v>0.838225744938882</v>
      </c>
    </row>
    <row r="50" customFormat="false" ht="15" hidden="false" customHeight="false" outlineLevel="0" collapsed="false">
      <c r="A50" s="12" t="s">
        <v>100</v>
      </c>
      <c r="B50" s="33" t="n">
        <f aca="false">CORREL($L$5:$L$34,J5:J34)</f>
        <v>0.901536895243286</v>
      </c>
    </row>
    <row r="51" customFormat="false" ht="15" hidden="false" customHeight="false" outlineLevel="0" collapsed="false">
      <c r="A51" s="12" t="s">
        <v>95</v>
      </c>
      <c r="B51" s="33" t="n">
        <f aca="false">CORREL($L$5:$L$34,E5:E34)</f>
        <v>0.771393055155154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5" min="3" style="0" width="16"/>
    <col collapsed="false" customWidth="true" hidden="false" outlineLevel="0" max="8" min="6" style="0" width="10"/>
  </cols>
  <sheetData>
    <row r="1" customFormat="false" ht="17.35" hidden="false" customHeight="false" outlineLevel="0" collapsed="false">
      <c r="A1" s="5" t="s">
        <v>119</v>
      </c>
    </row>
    <row r="2" customFormat="false" ht="15" hidden="false" customHeight="false" outlineLevel="0" collapsed="false">
      <c r="A2" s="6" t="s">
        <v>120</v>
      </c>
    </row>
    <row r="4" customFormat="false" ht="45" hidden="false" customHeight="true" outlineLevel="0" collapsed="false">
      <c r="A4" s="7" t="s">
        <v>53</v>
      </c>
      <c r="B4" s="7" t="s">
        <v>92</v>
      </c>
      <c r="C4" s="7" t="s">
        <v>121</v>
      </c>
      <c r="D4" s="7" t="s">
        <v>122</v>
      </c>
      <c r="E4" s="7" t="s">
        <v>123</v>
      </c>
      <c r="F4" s="7" t="s">
        <v>63</v>
      </c>
      <c r="G4" s="7" t="s">
        <v>64</v>
      </c>
      <c r="H4" s="7" t="s">
        <v>65</v>
      </c>
    </row>
    <row r="5" customFormat="false" ht="15" hidden="false" customHeight="false" outlineLevel="0" collapsed="false">
      <c r="A5" s="12" t="s">
        <v>73</v>
      </c>
      <c r="B5" s="35" t="n">
        <v>1</v>
      </c>
      <c r="C5" s="38" t="n">
        <v>8.21759259259259E-007</v>
      </c>
      <c r="D5" s="38" t="n">
        <v>4.625E-005</v>
      </c>
      <c r="E5" s="36" t="n">
        <v>0.000243055555555556</v>
      </c>
      <c r="F5" s="33" t="n">
        <f aca="false">ROUND(C5*86400,3)</f>
        <v>0.071</v>
      </c>
      <c r="G5" s="33" t="n">
        <f aca="false">ROUND(D5*86400,3)</f>
        <v>3.996</v>
      </c>
      <c r="H5" s="24" t="n">
        <f aca="false">ROUND(E5*86400,3)</f>
        <v>21</v>
      </c>
    </row>
    <row r="6" customFormat="false" ht="15" hidden="false" customHeight="false" outlineLevel="0" collapsed="false">
      <c r="A6" s="12" t="s">
        <v>74</v>
      </c>
      <c r="B6" s="35" t="n">
        <v>2</v>
      </c>
      <c r="C6" s="38" t="n">
        <v>2.89351851851852E-007</v>
      </c>
      <c r="D6" s="38" t="n">
        <v>5.03703703703704E-005</v>
      </c>
      <c r="E6" s="36" t="n">
        <v>9.25925925925926E-005</v>
      </c>
      <c r="F6" s="33" t="n">
        <f aca="false">ROUND(C6*86400,3)</f>
        <v>0.025</v>
      </c>
      <c r="G6" s="33" t="n">
        <f aca="false">ROUND(D6*86400,3)</f>
        <v>4.352</v>
      </c>
      <c r="H6" s="24" t="n">
        <f aca="false">ROUND(E6*86400,3)</f>
        <v>8</v>
      </c>
    </row>
    <row r="7" customFormat="false" ht="15" hidden="false" customHeight="false" outlineLevel="0" collapsed="false">
      <c r="A7" s="12" t="s">
        <v>75</v>
      </c>
      <c r="B7" s="35" t="n">
        <v>3</v>
      </c>
      <c r="C7" s="38" t="n">
        <v>7.98611111111111E-007</v>
      </c>
      <c r="D7" s="38" t="n">
        <v>9.95138888888889E-005</v>
      </c>
      <c r="E7" s="36" t="n">
        <v>0.000162037037037037</v>
      </c>
      <c r="F7" s="33" t="n">
        <f aca="false">ROUND(C7*86400,3)</f>
        <v>0.069</v>
      </c>
      <c r="G7" s="33" t="n">
        <f aca="false">ROUND(D7*86400,3)</f>
        <v>8.598</v>
      </c>
      <c r="H7" s="24" t="n">
        <f aca="false">ROUND(E7*86400,3)</f>
        <v>14</v>
      </c>
    </row>
    <row r="8" customFormat="false" ht="15" hidden="false" customHeight="false" outlineLevel="0" collapsed="false">
      <c r="A8" s="12" t="s">
        <v>76</v>
      </c>
      <c r="B8" s="35" t="n">
        <v>4</v>
      </c>
      <c r="C8" s="38" t="n">
        <v>3.7037037037037E-007</v>
      </c>
      <c r="D8" s="38" t="n">
        <v>7.54050925925926E-005</v>
      </c>
      <c r="E8" s="36" t="n">
        <v>0.000138888888888889</v>
      </c>
      <c r="F8" s="33" t="n">
        <f aca="false">ROUND(C8*86400,3)</f>
        <v>0.032</v>
      </c>
      <c r="G8" s="33" t="n">
        <f aca="false">ROUND(D8*86400,3)</f>
        <v>6.515</v>
      </c>
      <c r="H8" s="24" t="n">
        <f aca="false">ROUND(E8*86400,3)</f>
        <v>12</v>
      </c>
    </row>
    <row r="9" customFormat="false" ht="15" hidden="false" customHeight="false" outlineLevel="0" collapsed="false">
      <c r="A9" s="12" t="s">
        <v>77</v>
      </c>
      <c r="B9" s="35" t="n">
        <v>5</v>
      </c>
      <c r="C9" s="38" t="n">
        <v>8.10185185185185E-008</v>
      </c>
      <c r="D9" s="38" t="n">
        <v>3.53356481481482E-005</v>
      </c>
      <c r="E9" s="36" t="n">
        <v>6.94444444444444E-005</v>
      </c>
      <c r="F9" s="33" t="n">
        <f aca="false">ROUND(C9*86400,3)</f>
        <v>0.007</v>
      </c>
      <c r="G9" s="33" t="n">
        <f aca="false">ROUND(D9*86400,3)</f>
        <v>3.053</v>
      </c>
      <c r="H9" s="24" t="n">
        <f aca="false">ROUND(E9*86400,3)</f>
        <v>6</v>
      </c>
    </row>
    <row r="10" customFormat="false" ht="15" hidden="false" customHeight="false" outlineLevel="0" collapsed="false">
      <c r="A10" s="12" t="s">
        <v>78</v>
      </c>
      <c r="B10" s="35" t="n">
        <v>6</v>
      </c>
      <c r="C10" s="38" t="n">
        <v>3.24074074074074E-007</v>
      </c>
      <c r="D10" s="38" t="n">
        <v>9.03240740740741E-005</v>
      </c>
      <c r="E10" s="36" t="n">
        <v>8.10185185185185E-005</v>
      </c>
      <c r="F10" s="33" t="n">
        <f aca="false">ROUND(C10*86400,3)</f>
        <v>0.028</v>
      </c>
      <c r="G10" s="33" t="n">
        <f aca="false">ROUND(D10*86400,3)</f>
        <v>7.804</v>
      </c>
      <c r="H10" s="24" t="n">
        <f aca="false">ROUND(E10*86400,3)</f>
        <v>7</v>
      </c>
    </row>
    <row r="11" customFormat="false" ht="15" hidden="false" customHeight="false" outlineLevel="0" collapsed="false">
      <c r="A11" s="12" t="s">
        <v>124</v>
      </c>
      <c r="B11" s="39"/>
      <c r="C11" s="40" t="n">
        <f aca="false">AVERAGE(C5:C10)</f>
        <v>4.47530864197531E-007</v>
      </c>
      <c r="D11" s="40" t="n">
        <f aca="false">AVERAGE(D5:D10)</f>
        <v>6.61998456790123E-005</v>
      </c>
      <c r="E11" s="41" t="n">
        <f aca="false">AVERAGE(E5:E10)</f>
        <v>0.000131172839506173</v>
      </c>
      <c r="F11" s="30" t="n">
        <f aca="false">AVERAGE(F5:F10)</f>
        <v>0.0386666666666667</v>
      </c>
      <c r="G11" s="30" t="n">
        <f aca="false">AVERAGE(G5:G10)</f>
        <v>5.71966666666667</v>
      </c>
      <c r="H11" s="29" t="n">
        <f aca="false">AVERAGE(H5:H10)</f>
        <v>11.3333333333333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5" t="s">
        <v>125</v>
      </c>
    </row>
    <row r="2" customFormat="false" ht="15" hidden="false" customHeight="false" outlineLevel="0" collapsed="false">
      <c r="A2" s="6" t="s">
        <v>126</v>
      </c>
    </row>
    <row r="4" customFormat="false" ht="31.5" hidden="false" customHeight="true" outlineLevel="0" collapsed="false">
      <c r="A4" s="7" t="s">
        <v>93</v>
      </c>
      <c r="B4" s="7" t="s">
        <v>127</v>
      </c>
      <c r="C4" s="7" t="s">
        <v>128</v>
      </c>
      <c r="D4" s="7" t="s">
        <v>129</v>
      </c>
      <c r="E4" s="7" t="s">
        <v>130</v>
      </c>
      <c r="F4" s="7" t="s">
        <v>131</v>
      </c>
    </row>
    <row r="5" customFormat="false" ht="15" hidden="false" customHeight="false" outlineLevel="0" collapsed="false">
      <c r="A5" s="12" t="s">
        <v>132</v>
      </c>
      <c r="B5" s="36" t="n">
        <v>0.0009375</v>
      </c>
      <c r="C5" s="36" t="n">
        <v>0.000578703703703704</v>
      </c>
      <c r="D5" s="24" t="n">
        <f aca="false">ROUND(B5*86400,3)</f>
        <v>81</v>
      </c>
      <c r="E5" s="24" t="n">
        <f aca="false">ROUND(C5*86400,3)</f>
        <v>50</v>
      </c>
      <c r="F5" s="24" t="n">
        <f aca="false">D5-E5</f>
        <v>31</v>
      </c>
    </row>
    <row r="6" customFormat="false" ht="15" hidden="false" customHeight="false" outlineLevel="0" collapsed="false">
      <c r="A6" s="12" t="s">
        <v>133</v>
      </c>
      <c r="B6" s="36" t="n">
        <v>0.000740740740740741</v>
      </c>
      <c r="C6" s="36" t="n">
        <v>0.00056712962962963</v>
      </c>
      <c r="D6" s="24" t="n">
        <f aca="false">ROUND(B6*86400,3)</f>
        <v>64</v>
      </c>
      <c r="E6" s="24" t="n">
        <f aca="false">ROUND(C6*86400,3)</f>
        <v>49</v>
      </c>
      <c r="F6" s="24" t="n">
        <f aca="false">D6-E6</f>
        <v>15</v>
      </c>
    </row>
    <row r="7" customFormat="false" ht="15" hidden="false" customHeight="false" outlineLevel="0" collapsed="false">
      <c r="A7" s="12" t="s">
        <v>134</v>
      </c>
      <c r="B7" s="36" t="n">
        <v>0.000706018518518519</v>
      </c>
      <c r="C7" s="36" t="n">
        <v>0.000555555555555556</v>
      </c>
      <c r="D7" s="24" t="n">
        <f aca="false">ROUND(B7*86400,3)</f>
        <v>61</v>
      </c>
      <c r="E7" s="24" t="n">
        <f aca="false">ROUND(C7*86400,3)</f>
        <v>48</v>
      </c>
      <c r="F7" s="24" t="n">
        <f aca="false">D7-E7</f>
        <v>13</v>
      </c>
    </row>
    <row r="8" customFormat="false" ht="15" hidden="false" customHeight="false" outlineLevel="0" collapsed="false">
      <c r="A8" s="12" t="s">
        <v>135</v>
      </c>
      <c r="B8" s="36" t="n">
        <v>0.000462962962962963</v>
      </c>
      <c r="C8" s="36" t="n">
        <v>0.000636574074074074</v>
      </c>
      <c r="D8" s="24" t="n">
        <f aca="false">ROUND(B8*86400,3)</f>
        <v>40</v>
      </c>
      <c r="E8" s="24" t="n">
        <f aca="false">ROUND(C8*86400,3)</f>
        <v>55</v>
      </c>
      <c r="F8" s="24" t="n">
        <f aca="false">D8-E8</f>
        <v>-15</v>
      </c>
    </row>
    <row r="9" customFormat="false" ht="15" hidden="false" customHeight="false" outlineLevel="0" collapsed="false">
      <c r="D9" s="7" t="s">
        <v>47</v>
      </c>
      <c r="E9" s="7" t="s">
        <v>49</v>
      </c>
    </row>
    <row r="10" customFormat="false" ht="15" hidden="false" customHeight="false" outlineLevel="0" collapsed="false">
      <c r="C10" s="12" t="s">
        <v>136</v>
      </c>
      <c r="D10" s="22" t="n">
        <f aca="false">AVERAGE(D5:D8)</f>
        <v>61.5</v>
      </c>
      <c r="E10" s="22" t="n">
        <f aca="false">AVERAGE(E5:E8)</f>
        <v>50.5</v>
      </c>
    </row>
    <row r="11" customFormat="false" ht="15" hidden="false" customHeight="false" outlineLevel="0" collapsed="false">
      <c r="C11" s="12" t="s">
        <v>108</v>
      </c>
      <c r="D11" s="22" t="n">
        <f aca="false">STDEV(D5:D8)</f>
        <v>16.8226038412607</v>
      </c>
      <c r="E11" s="22" t="n">
        <f aca="false">STDEV(E5:E8)</f>
        <v>3.1091263510296</v>
      </c>
    </row>
    <row r="12" customFormat="false" ht="15" hidden="false" customHeight="false" outlineLevel="0" collapsed="false">
      <c r="C12" s="12" t="s">
        <v>109</v>
      </c>
      <c r="D12" s="23" t="n">
        <f aca="false">D11/D10</f>
        <v>0.273538273841638</v>
      </c>
      <c r="E12" s="23" t="n">
        <f aca="false">E11/E10</f>
        <v>0.0615668584362298</v>
      </c>
    </row>
    <row r="13" customFormat="false" ht="15" hidden="false" customHeight="false" outlineLevel="0" collapsed="false">
      <c r="C13" s="12" t="s">
        <v>110</v>
      </c>
      <c r="D13" s="22" t="n">
        <f aca="false">MIN(D5:D8)</f>
        <v>40</v>
      </c>
      <c r="E13" s="22" t="n">
        <f aca="false">MIN(E5:E8)</f>
        <v>48</v>
      </c>
    </row>
    <row r="14" customFormat="false" ht="15" hidden="false" customHeight="false" outlineLevel="0" collapsed="false">
      <c r="C14" s="12" t="s">
        <v>111</v>
      </c>
      <c r="D14" s="22" t="n">
        <f aca="false">MAX(D5:D8)</f>
        <v>81</v>
      </c>
      <c r="E14" s="22" t="n">
        <f aca="false">MAX(E5:E8)</f>
        <v>55</v>
      </c>
    </row>
    <row r="15" customFormat="false" ht="15" hidden="false" customHeight="false" outlineLevel="0" collapsed="false">
      <c r="C15" s="12" t="s">
        <v>137</v>
      </c>
      <c r="D15" s="22" t="n">
        <f aca="false">SUM(D5:D8)</f>
        <v>246</v>
      </c>
      <c r="E15" s="22" t="n">
        <f aca="false">SUM(E5:E8)</f>
        <v>202</v>
      </c>
    </row>
    <row r="17" customFormat="false" ht="15" hidden="false" customHeight="false" outlineLevel="0" collapsed="false">
      <c r="A17" s="12" t="s">
        <v>138</v>
      </c>
      <c r="B17" s="12"/>
      <c r="C17" s="12"/>
      <c r="D17" s="23" t="n">
        <f aca="false">1-E10/D10</f>
        <v>0.178861788617886</v>
      </c>
    </row>
    <row r="18" customFormat="false" ht="15" hidden="false" customHeight="false" outlineLevel="0" collapsed="false">
      <c r="A18" s="12" t="s">
        <v>139</v>
      </c>
      <c r="B18" s="12"/>
      <c r="C18" s="12"/>
      <c r="D18" s="33" t="n">
        <f aca="false">TTEST(D5:D8,E5:E8,2,3)</f>
        <v>0.283487686053833</v>
      </c>
    </row>
    <row r="19" customFormat="false" ht="15" hidden="false" customHeight="false" outlineLevel="0" collapsed="false">
      <c r="A19" s="12" t="s">
        <v>140</v>
      </c>
      <c r="B19" s="12"/>
      <c r="C19" s="12"/>
      <c r="D19" s="24" t="n">
        <f aca="false">SUM(D5:D8)</f>
        <v>246</v>
      </c>
      <c r="E19" s="24" t="n">
        <f aca="false">MAX(E5:E8)</f>
        <v>55</v>
      </c>
    </row>
    <row r="20" customFormat="false" ht="15" hidden="false" customHeight="false" outlineLevel="0" collapsed="false">
      <c r="A20" s="12" t="s">
        <v>141</v>
      </c>
      <c r="B20" s="12"/>
      <c r="C20" s="12"/>
      <c r="D20" s="18" t="n">
        <f aca="false">4*60/D19</f>
        <v>0.975609756097561</v>
      </c>
      <c r="E20" s="18" t="n">
        <f aca="false">4*60/E19</f>
        <v>4.36363636363636</v>
      </c>
    </row>
    <row r="21" customFormat="false" ht="15" hidden="false" customHeight="false" outlineLevel="0" collapsed="false">
      <c r="A21" s="12" t="s">
        <v>142</v>
      </c>
      <c r="B21" s="12"/>
      <c r="C21" s="12"/>
      <c r="D21" s="42" t="n">
        <f aca="false">D19/E19</f>
        <v>4.47272727272727</v>
      </c>
    </row>
    <row r="23" customFormat="false" ht="15" hidden="false" customHeight="false" outlineLevel="0" collapsed="false">
      <c r="A23" s="12" t="s">
        <v>143</v>
      </c>
      <c r="B23" s="12"/>
      <c r="C23" s="12"/>
      <c r="D23" s="43" t="n">
        <v>1</v>
      </c>
      <c r="E23" s="43" t="n">
        <v>1</v>
      </c>
    </row>
    <row r="24" customFormat="false" ht="15" hidden="false" customHeight="false" outlineLevel="0" collapsed="false">
      <c r="A24" s="6" t="s">
        <v>144</v>
      </c>
    </row>
    <row r="25" customFormat="false" ht="15" hidden="false" customHeight="false" outlineLevel="0" collapsed="false">
      <c r="A25" s="6" t="s">
        <v>145</v>
      </c>
    </row>
  </sheetData>
  <mergeCells count="6">
    <mergeCell ref="A17:C17"/>
    <mergeCell ref="A18:C18"/>
    <mergeCell ref="A19:C19"/>
    <mergeCell ref="A20:C20"/>
    <mergeCell ref="A21:C21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2026-09-24T17:44:36Z</dcterms:created>
  <dc:creator>openpyxl</dc:creator>
  <dc:description/>
  <dc:language>en-US</dc:language>
  <cp:lastModifiedBy/>
  <dcterms:modified xsi:type="dcterms:W3CDTF">2026-09-24T17:44:38Z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